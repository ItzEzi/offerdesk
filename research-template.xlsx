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etros" sheetId="2" state="visible" r:id="rId4"/>
    <sheet name="ZIPs" sheetId="3" state="visible" r:id="rId5"/>
    <sheet name="Listing Watch" sheetId="4" state="visible" r:id="rId6"/>
    <sheet name="Flip Candidates" sheetId="5" state="visible" r:id="rId7"/>
    <sheet name="Past Flips" sheetId="6" state="visible" r:id="rId8"/>
    <sheet name="Competition" sheetId="7" state="visible" r:id="rId9"/>
    <sheet name="Calls" sheetId="8" state="visible" r:id="rId10"/>
    <sheet name="Deal Check" sheetId="9" state="visible" r:id="rId11"/>
    <sheet name="Paper Flip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7" authorId="0">
      <text>
        <r>
          <rPr>
            <sz val="10"/>
            <rFont val="Arial"/>
            <family val="2"/>
          </rPr>
          <t xml:space="preserve">Average share of single-family homes that are rented out (mostly investor-owned). Higher = more investors already here.</t>
        </r>
      </text>
    </comment>
    <comment ref="J7" authorId="0">
      <text>
        <r>
          <rPr>
            <sz val="10"/>
            <rFont val="Arial"/>
            <family val="2"/>
          </rPr>
          <t xml:space="preserve">Flips you found ÷ yearly sales in your ZIPs. Only meaningful after you have searched sale histories properly.</t>
        </r>
      </text>
    </comment>
    <comment ref="W7" authorId="0">
      <text>
        <r>
          <rPr>
            <sz val="10"/>
            <rFont val="Arial"/>
            <family val="2"/>
          </rPr>
          <t xml:space="preserve">For each factor, your metros are ranked against each other: best = 1 point, worst = 0. The score is the weighted average of the points it has data for, times 100. It only compares the metros in this table.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7" authorId="0">
      <text>
        <r>
          <rPr>
            <sz val="10"/>
            <rFont val="Arial"/>
            <family val="2"/>
          </rPr>
          <t xml:space="preserve">Average sale price ÷ list price. 0.98 = homes sell for 98% of asking. Type 98% or 0.98.</t>
        </r>
      </text>
    </comment>
    <comment ref="R7" authorId="0">
      <text>
        <r>
          <rPr>
            <sz val="10"/>
            <rFont val="Arial"/>
            <family val="2"/>
          </rPr>
          <t xml:space="preserve">Active listings ÷ monthly sales. Under 3 = homes go fast (sellers' market). Over 6 = slow (buyers' market).</t>
        </r>
      </text>
    </comment>
    <comment ref="T7" authorId="0">
      <text>
        <r>
          <rPr>
            <sz val="10"/>
            <rFont val="Arial"/>
            <family val="2"/>
          </rPr>
          <t xml:space="preserve">Rented single-family ÷ all occupied single-family homes. Most rented houses are owned by investors, so a high or rising share means more investors already here.</t>
        </r>
      </text>
    </comment>
    <comment ref="V7" authorId="0">
      <text>
        <r>
          <rPr>
            <sz val="10"/>
            <rFont val="Arial"/>
            <family val="2"/>
          </rPr>
          <t xml:space="preserve">Flips you found in the last 12 months ÷ (3-month sales × 4). A rough flip rate. The US average is about 8%. Only meaningful once you have searched the sales history properly.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7" authorId="0">
      <text>
        <r>
          <rPr>
            <sz val="10"/>
            <rFont val="Arial"/>
            <family val="2"/>
          </rPr>
          <t xml:space="preserve">Likely flip = the earlier sale was within ~18 months and the price jumped 25% or more. Profit uses the rehab and cost assumptions at the top of the Past Flips tab.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4" authorId="0">
      <text>
        <r>
          <rPr>
            <sz val="10"/>
            <rFont val="Arial"/>
            <family val="2"/>
          </rPr>
          <t xml:space="preserve">Leave blank to use the lowest-comp value above. Only type a higher number if an agent AND a lender agree.</t>
        </r>
      </text>
    </comment>
    <comment ref="B27" authorId="0">
      <text>
        <r>
          <rPr>
            <sz val="10"/>
            <rFont val="Arial"/>
            <family val="2"/>
          </rPr>
          <t xml:space="preserve">Your assumption. Ask the title company for a real quote.</t>
        </r>
      </text>
    </comment>
    <comment ref="B28" authorId="0">
      <text>
        <r>
          <rPr>
            <sz val="10"/>
            <rFont val="Arial"/>
            <family val="2"/>
          </rPr>
          <t xml:space="preserve">Use the average of 3 contractor bids.</t>
        </r>
      </text>
    </comment>
    <comment ref="B29" authorId="0">
      <text>
        <r>
          <rPr>
            <sz val="10"/>
            <rFont val="Arial"/>
            <family val="2"/>
          </rPr>
          <t xml:space="preserve">Extra on top of the rehab estimate. 20% is a safe starting cushion.</t>
        </r>
      </text>
    </comment>
    <comment ref="B31" authorId="0">
      <text>
        <r>
          <rPr>
            <sz val="10"/>
            <rFont val="Arial"/>
            <family val="2"/>
          </rPr>
          <t xml:space="preserve">Ask an insurance agent and check the county tax bill.</t>
        </r>
      </text>
    </comment>
    <comment ref="B32" authorId="0">
      <text>
        <r>
          <rPr>
            <sz val="10"/>
            <rFont val="Arial"/>
            <family val="2"/>
          </rPr>
          <t xml:space="preserve">Your assumption. Ask a local agent.</t>
        </r>
      </text>
    </comment>
    <comment ref="B33" authorId="0">
      <text>
        <r>
          <rPr>
            <sz val="10"/>
            <rFont val="Arial"/>
            <family val="2"/>
          </rPr>
          <t xml:space="preserve">Family money as cash = 0%. Hard-money lenders often lend 85–90% of purchase and 100% of rehab.</t>
        </r>
      </text>
    </comment>
    <comment ref="B34" authorId="0">
      <text>
        <r>
          <rPr>
            <sz val="10"/>
            <rFont val="Arial"/>
            <family val="2"/>
          </rPr>
          <t xml:space="preserve">Only used if the loan is more than 0%.</t>
        </r>
      </text>
    </comment>
    <comment ref="B36" authorId="0">
      <text>
        <r>
          <rPr>
            <sz val="10"/>
            <rFont val="Arial"/>
            <family val="2"/>
          </rPr>
          <t xml:space="preserve">Used for your max offer below.</t>
        </r>
      </text>
    </comment>
  </commentList>
</comments>
</file>

<file path=xl/sharedStrings.xml><?xml version="1.0" encoding="utf-8"?>
<sst xmlns="http://schemas.openxmlformats.org/spreadsheetml/2006/main" count="418" uniqueCount="350">
  <si>
    <t xml:space="preserve">Market Research Workbook</t>
  </si>
  <si>
    <t xml:space="preserve">Your own research, your own numbers. Every calculation is a plain formula you can click on and check.</t>
  </si>
  <si>
    <t xml:space="preserve">How the colors work</t>
  </si>
  <si>
    <t xml:space="preserve">Yellow cell, blue text</t>
  </si>
  <si>
    <t xml:space="preserve">You type it (from a source you checked).</t>
  </si>
  <si>
    <t xml:space="preserve">Gray cell, black text</t>
  </si>
  <si>
    <t xml:space="preserve">Calculated. Don't type here; click it to see the formula.</t>
  </si>
  <si>
    <t xml:space="preserve">Gray cell, green text</t>
  </si>
  <si>
    <t xml:space="preserve">Pulled in from another tab.</t>
  </si>
  <si>
    <t xml:space="preserve">Light blue cell</t>
  </si>
  <si>
    <t xml:space="preserve">Filled in by OfferDesk from public data (Research pack). Spot-check a few against the source.</t>
  </si>
  <si>
    <t xml:space="preserve">Italic first row</t>
  </si>
  <si>
    <t xml:space="preserve">An EXAMPLE row ("Sampleville, OH") so you can see the format. Delete it once you have your own rows.</t>
  </si>
  <si>
    <t xml:space="preserve">The plan (about 4–5 weeks for ALL your metros, done side by side)</t>
  </si>
  <si>
    <t xml:space="preserve">1. Metros</t>
  </si>
  <si>
    <t xml:space="preserve">Week 1: write your 3–5 candidate metros in the Metros tab (column A), same name everywhere. Do steps 2–4 for all of them, then cut to your best 2.</t>
  </si>
  <si>
    <t xml:space="preserve">2. ZIPs</t>
  </si>
  <si>
    <t xml:space="preserve">For each metro, add 5–8 ZIPs. Faster: star the metros in OfferDesk → Markets → Research pack, and it fills this tab (light blue). Then spot-check 3 ZIPs per metro with the Redfin link.</t>
  </si>
  <si>
    <t xml:space="preserve">3. Listing Watch</t>
  </si>
  <si>
    <t xml:space="preserve">Save 20–30 listings in your price range per metro. Update status and price once a week.</t>
  </si>
  <si>
    <t xml:space="preserve">4. Past Flips</t>
  </si>
  <si>
    <t xml:space="preserve">Find houses that sold cheap, then resold renovated within 12 months. OfferDesk lists likely ones in Flip Candidates; you check each one's sale history and type the earlier sale.</t>
  </si>
  <si>
    <t xml:space="preserve">5. Calls</t>
  </si>
  <si>
    <t xml:space="preserve">Weeks 2–3, your 2 finalists only: call 10 locals each (3 agents, 2 property managers, 2 contractors, 1 hard-money lender, 1 title company). Same questions every time.</t>
  </si>
  <si>
    <t xml:space="preserve">6. Metros</t>
  </si>
  <si>
    <t xml:space="preserve">Everything rolls up here. Set your own weights; the score ranks your metros against each other.</t>
  </si>
  <si>
    <t xml:space="preserve">7. Paper Flips</t>
  </si>
  <si>
    <t xml:space="preserve">Run your numbers on 10 real listings in the Deal Check tab, log them here, then check what they really sold for.</t>
  </si>
  <si>
    <t xml:space="preserve">8. Ready check</t>
  </si>
  <si>
    <t xml:space="preserve">Bottom of the Metros tab. Don't buy in a metro until every box says Yes.</t>
  </si>
  <si>
    <t xml:space="preserve">Weekly</t>
  </si>
  <si>
    <t xml:space="preserve">In OfferDesk, drop your new Redfin downloads, then "Update my workbook": it refreshes the light-blue rows and adds new listings. Rows you edit yourself are never overwritten once you change their Source/Notes cell.</t>
  </si>
  <si>
    <t xml:space="preserve">Where to get each number</t>
  </si>
  <si>
    <t xml:space="preserve">Number</t>
  </si>
  <si>
    <t xml:space="preserve">Where (free)</t>
  </si>
  <si>
    <t xml:space="preserve">How</t>
  </si>
  <si>
    <t xml:space="preserve">Median sale price, homes sold, days on market, sale-to-list, % sold above list, price change, active listings</t>
  </si>
  <si>
    <t xml:space="preserve">Redfin ZIP housing market page
https://www.redfin.com/zipcode/44102/housing-market</t>
  </si>
  <si>
    <t xml:space="preserve">Swap in your ZIP (the ZIPs tab builds this link for you). Use the "last 3 months" numbers and stay consistent.</t>
  </si>
  <si>
    <t xml:space="preserve">Same numbers, all ZIPs at once</t>
  </si>
  <si>
    <t xml:space="preserve">Redfin Data Center
https://www.redfin.com/news/data-center/</t>
  </si>
  <si>
    <t xml:space="preserve">Download "ZIP code" market tracker data if you want to check many ZIPs.</t>
  </si>
  <si>
    <t xml:space="preserve">Typical rent, 3-bed</t>
  </si>
  <si>
    <t xml:space="preserve">HUD Fair Market Rents (by ZIP), or Zillow rentals
https://www.huduser.gov/portal/datasets/fmr.html</t>
  </si>
  <si>
    <t xml:space="preserve">Use the Small Area FMR for the ZIP. Cross-check with 3–5 real rentals on Zillow, and ask a property manager.</t>
  </si>
  <si>
    <t xml:space="preserve">Owner vs. rented single-family homes</t>
  </si>
  <si>
    <t xml:space="preserve">Census table B25032 (data.census.gov)
https://data.census.gov/table/ACSDT5Y2024.B25032</t>
  </si>
  <si>
    <t xml:space="preserve">Line 3 = owner-occupied "1, detached". Line 14 = renter-occupied "1, detached". The ZIPs tab link opens it for your ZIP; if it doesn't, pick Geography → ZIP Code Tabulation Area and type the ZIP.</t>
  </si>
  <si>
    <t xml:space="preserve">Median year built</t>
  </si>
  <si>
    <t xml:space="preserve">Census table B25035
https://data.census.gov/table/ACSDT5Y2024.B25035</t>
  </si>
  <si>
    <t xml:space="preserve">One number per ZIP.</t>
  </si>
  <si>
    <t xml:space="preserve">Median household income</t>
  </si>
  <si>
    <t xml:space="preserve">Census table B19013, or Census Reporter
https://censusreporter.org/</t>
  </si>
  <si>
    <t xml:space="preserve">Census Reporter has an easy page per ZIP (the ZIPs tab links it).</t>
  </si>
  <si>
    <t xml:space="preserve">County jobs (2-year change)</t>
  </si>
  <si>
    <t xml:space="preserve">BLS QCEW (county employment)
https://www.bls.gov/cew/</t>
  </si>
  <si>
    <t xml:space="preserve">Compare total employment now vs. the same quarter 2 years ago.</t>
  </si>
  <si>
    <t xml:space="preserve">County population since 2020</t>
  </si>
  <si>
    <t xml:space="preserve">Census population estimates
https://www.census.gov/programs-surveys/popest.html</t>
  </si>
  <si>
    <t xml:space="preserve">County totals. Compare the latest year to 2020.</t>
  </si>
  <si>
    <t xml:space="preserve">Past flips</t>
  </si>
  <si>
    <t xml:space="preserve">Zillow / Redfin "sale history", county recorder or assessor site</t>
  </si>
  <si>
    <t xml:space="preserve">A house that sold, then sold again within 12 months for a lot more, is almost always a flip.</t>
  </si>
  <si>
    <t xml:space="preserve">Flip rates for big metros</t>
  </si>
  <si>
    <t xml:space="preserve">ATTOM home flipping report (quarterly)
https://www.attomdata.com/news/market-trends/flipping/</t>
  </si>
  <si>
    <t xml:space="preserve">Flips as a % of all sales. The US average was 8% in early 2026.</t>
  </si>
  <si>
    <t xml:space="preserve">"We buy houses" competition</t>
  </si>
  <si>
    <t xml:space="preserve">Google, Facebook groups, the local investor club (REIA)</t>
  </si>
  <si>
    <t xml:space="preserve">Search "we buy houses [city]" and count the different companies on the first 3 pages, ads included.</t>
  </si>
  <si>
    <t xml:space="preserve">Ask every local the same questions</t>
  </si>
  <si>
    <t xml:space="preserve">•  What does a renovated 3-bed, 1–2 bath sell for in [ZIP] right now?</t>
  </si>
  <si>
    <t xml:space="preserve">•  What does a cosmetic rehab cost per square foot here? A full gut?</t>
  </si>
  <si>
    <t xml:space="preserve">•  What would that house rent for?</t>
  </si>
  <si>
    <t xml:space="preserve">•  Which areas sell fast, and which ones sit? Where would you not buy?</t>
  </si>
  <si>
    <t xml:space="preserve">•  How many investors and flippers are buying here? (1 = few, 5 = crowded)</t>
  </si>
  <si>
    <t xml:space="preserve">•  Who are the active flippers? Which lenders and contractors do they use?</t>
  </si>
  <si>
    <t xml:space="preserve">•  Title companies: what share of your closings are off-market or wholesale deals?</t>
  </si>
  <si>
    <t xml:space="preserve">•  Would you work with an out-of-state buyer? What do you need from me?</t>
  </si>
  <si>
    <t xml:space="preserve">•  Who else should I talk to?</t>
  </si>
  <si>
    <t xml:space="preserve">Rules</t>
  </si>
  <si>
    <t xml:space="preserve">•  Any number that decides money needs two independent sources, and at least one should be a local person.</t>
  </si>
  <si>
    <t xml:space="preserve">•  A sold price is a fact. Anyone's opinion (an agent's, a course's, an AI's) is a guess until a sold price backs it.</t>
  </si>
  <si>
    <t xml:space="preserve">•  Use the lowest comp for your resale price, add 20% to rehab, and the deal must still work in the stress test (Deal Check tab).</t>
  </si>
  <si>
    <t xml:space="preserve">Metros</t>
  </si>
  <si>
    <t xml:space="preserve">Your candidate metros side by side. Most columns fill themselves from the other tabs. Set your own weights in row 6; the score compares your metros to each other.</t>
  </si>
  <si>
    <t xml:space="preserve">Your weights (row 6, should add to 100) →</t>
  </si>
  <si>
    <t xml:space="preserve">total</t>
  </si>
  <si>
    <t xml:space="preserve">From your ZIPs tab</t>
  </si>
  <si>
    <t xml:space="preserve">From Past Flips + Flip Candidates</t>
  </si>
  <si>
    <t xml:space="preserve">From Listing Watch</t>
  </si>
  <si>
    <t xml:space="preserve">From Calls</t>
  </si>
  <si>
    <t xml:space="preserve">Competition</t>
  </si>
  <si>
    <t xml:space="preserve">You type</t>
  </si>
  <si>
    <t xml:space="preserve">Result</t>
  </si>
  <si>
    <t xml:space="preserve">Metro (exact same name in every tab)</t>
  </si>
  <si>
    <t xml:space="preserve">ZIPs researched</t>
  </si>
  <si>
    <t xml:space="preserve">Typical median price ($)</t>
  </si>
  <si>
    <t xml:space="preserve">Sales, last 3 mo (your ZIPs)</t>
  </si>
  <si>
    <t xml:space="preserve">Avg days on market</t>
  </si>
  <si>
    <t xml:space="preserve">Avg price change, 1 yr</t>
  </si>
  <si>
    <t xml:space="preserve">Avg rent yield</t>
  </si>
  <si>
    <t xml:space="preserve">Avg share of houses rented out</t>
  </si>
  <si>
    <t xml:space="preserve">Flips found, 12 mo</t>
  </si>
  <si>
    <t xml:space="preserve">Flips as % of sales (est.)</t>
  </si>
  <si>
    <t xml:space="preserve">Avg est. flip profit (% of resale)</t>
  </si>
  <si>
    <t xml:space="preserve">Listings watched</t>
  </si>
  <si>
    <t xml:space="preserve">Avg days to pending</t>
  </si>
  <si>
    <t xml:space="preserve">Share with a price cut</t>
  </si>
  <si>
    <t xml:space="preserve">Calls logged</t>
  </si>
  <si>
    <t xml:space="preserve">Avg competition from calls (1–5)</t>
  </si>
  <si>
    <t xml:space="preserve">Avg renovated 3-bed price, calls ($)</t>
  </si>
  <si>
    <t xml:space="preserve">Avg cosmetic rehab $/sqft, calls</t>
  </si>
  <si>
    <t xml:space="preserve">"We buy houses" companies (Competition tab)</t>
  </si>
  <si>
    <t xml:space="preserve">County jobs, 2 yrs</t>
  </si>
  <si>
    <t xml:space="preserve">Your rating after visiting (1–5)</t>
  </si>
  <si>
    <t xml:space="preserve">YOUR SCORE (0–100)</t>
  </si>
  <si>
    <t xml:space="preserve">Points: Deal volume</t>
  </si>
  <si>
    <t xml:space="preserve">Points: Sells fast</t>
  </si>
  <si>
    <t xml:space="preserve">Points: Price trend</t>
  </si>
  <si>
    <t xml:space="preserve">Points: Rent yield</t>
  </si>
  <si>
    <t xml:space="preserve">Points: Fewer flippers</t>
  </si>
  <si>
    <t xml:space="preserve">Points: Calls say less crowded</t>
  </si>
  <si>
    <t xml:space="preserve">Points: Fewer "we buy houses"</t>
  </si>
  <si>
    <t xml:space="preserve">Points: Job growth</t>
  </si>
  <si>
    <t xml:space="preserve">Points: Population growth</t>
  </si>
  <si>
    <t xml:space="preserve">Points: Your rating</t>
  </si>
  <si>
    <t xml:space="preserve">Sampleville, OH</t>
  </si>
  <si>
    <t xml:space="preserve">Ready check: don't buy in a metro until every box says Yes</t>
  </si>
  <si>
    <t xml:space="preserve">Metro</t>
  </si>
  <si>
    <t xml:space="preserve">Data spot-checked vs. Redfin (Y/N)</t>
  </si>
  <si>
    <t xml:space="preserve">10+ local calls</t>
  </si>
  <si>
    <t xml:space="preserve">3+ agents called</t>
  </si>
  <si>
    <t xml:space="preserve">A lender reviewed a real deal (Y/N)</t>
  </si>
  <si>
    <t xml:space="preserve">10+ paper flips</t>
  </si>
  <si>
    <t xml:space="preserve">Paper resale miss ≤ 10%</t>
  </si>
  <si>
    <t xml:space="preserve">Visited in person (Y/N)</t>
  </si>
  <si>
    <t xml:space="preserve">READY?</t>
  </si>
  <si>
    <t xml:space="preserve">Paper resale miss uses the "Miss (+/-)" column in Paper Flips, which needs a renovated resale or comp you found later.</t>
  </si>
  <si>
    <t xml:space="preserve">ZIPs</t>
  </si>
  <si>
    <t xml:space="preserve">One row per ZIP. Click the links on the right, copy the numbers into the yellow cells. Keep "Metro" spelled exactly as in the Metros tab.</t>
  </si>
  <si>
    <t xml:space="preserve">Where</t>
  </si>
  <si>
    <t xml:space="preserve">From Redfin (ZIP page)</t>
  </si>
  <si>
    <t xml:space="preserve">Rent</t>
  </si>
  <si>
    <t xml:space="preserve">From the Census</t>
  </si>
  <si>
    <t xml:space="preserve">Your check</t>
  </si>
  <si>
    <t xml:space="preserve">Calculated</t>
  </si>
  <si>
    <t xml:space="preserve">Open the source</t>
  </si>
  <si>
    <t xml:space="preserve">ZIP</t>
  </si>
  <si>
    <t xml:space="preserve">City</t>
  </si>
  <si>
    <t xml:space="preserve">Median sale price ($)</t>
  </si>
  <si>
    <t xml:space="preserve">Homes sold, last 3 mo</t>
  </si>
  <si>
    <t xml:space="preserve">Active listings now</t>
  </si>
  <si>
    <t xml:space="preserve">Median days on market</t>
  </si>
  <si>
    <t xml:space="preserve">Sale-to-list</t>
  </si>
  <si>
    <t xml:space="preserve">Sold above list</t>
  </si>
  <si>
    <t xml:space="preserve">Price change, 1 yr</t>
  </si>
  <si>
    <t xml:space="preserve">Typical rent, 3-bed ($/mo)</t>
  </si>
  <si>
    <t xml:space="preserve">Owner-occupied single-family homes (B25032 line 3)</t>
  </si>
  <si>
    <t xml:space="preserve">Rented single-family homes (B25032 line 14)</t>
  </si>
  <si>
    <t xml:space="preserve">Median household income ($)</t>
  </si>
  <si>
    <t xml:space="preserve">Checked on</t>
  </si>
  <si>
    <t xml:space="preserve">Source / notes</t>
  </si>
  <si>
    <t xml:space="preserve">Months of supply</t>
  </si>
  <si>
    <t xml:space="preserve">Rent yield (gross)</t>
  </si>
  <si>
    <t xml:space="preserve">Single-family homes rented out</t>
  </si>
  <si>
    <t xml:space="preserve">Redfin</t>
  </si>
  <si>
    <t xml:space="preserve">Census B25032</t>
  </si>
  <si>
    <t xml:space="preserve">Census Reporter</t>
  </si>
  <si>
    <t xml:space="preserve">EX001</t>
  </si>
  <si>
    <t xml:space="preserve">Sampleville</t>
  </si>
  <si>
    <t xml:space="preserve">EXAMPLE row: delete me</t>
  </si>
  <si>
    <t xml:space="preserve">Listing Watch</t>
  </si>
  <si>
    <t xml:space="preserve">Save 20–30 listings per metro in your price range. Once a week, update Current price, Status and dates. This shows how fast deals really go.</t>
  </si>
  <si>
    <t xml:space="preserve">The house</t>
  </si>
  <si>
    <t xml:space="preserve">Track it weekly</t>
  </si>
  <si>
    <t xml:space="preserve">Address</t>
  </si>
  <si>
    <t xml:space="preserve">Link</t>
  </si>
  <si>
    <t xml:space="preserve">Beds</t>
  </si>
  <si>
    <t xml:space="preserve">Baths</t>
  </si>
  <si>
    <t xml:space="preserve">Sqft</t>
  </si>
  <si>
    <t xml:space="preserve">Condition</t>
  </si>
  <si>
    <t xml:space="preserve">Listed on</t>
  </si>
  <si>
    <t xml:space="preserve">List price ($)</t>
  </si>
  <si>
    <t xml:space="preserve">Current price ($)</t>
  </si>
  <si>
    <t xml:space="preserve">Status</t>
  </si>
  <si>
    <t xml:space="preserve">Went pending on</t>
  </si>
  <si>
    <t xml:space="preserve">Sold on</t>
  </si>
  <si>
    <t xml:space="preserve">Sold price ($)</t>
  </si>
  <si>
    <t xml:space="preserve">Last checked</t>
  </si>
  <si>
    <t xml:space="preserve">Notes</t>
  </si>
  <si>
    <t xml:space="preserve">Price cut</t>
  </si>
  <si>
    <t xml:space="preserve">Days to pending</t>
  </si>
  <si>
    <t xml:space="preserve">Sold vs. first list price</t>
  </si>
  <si>
    <t xml:space="preserve">List $/sqft</t>
  </si>
  <si>
    <t xml:space="preserve">Sold $/sqft</t>
  </si>
  <si>
    <t xml:space="preserve">123 Example St</t>
  </si>
  <si>
    <t xml:space="preserve">Fixer</t>
  </si>
  <si>
    <t xml:space="preserve">Pending</t>
  </si>
  <si>
    <t xml:space="preserve">Flip Candidates</t>
  </si>
  <si>
    <t xml:space="preserve">Likely renovated resales: older houses that sold well above their ZIP's typical $/sqft. Open each link, look at the sale history, and type the EARLIER sale (yellow).</t>
  </si>
  <si>
    <t xml:space="preserve">From the Redfin "sold" download (OfferDesk fills these)</t>
  </si>
  <si>
    <t xml:space="preserve">You check the sale history</t>
  </si>
  <si>
    <t xml:space="preserve">Year built</t>
  </si>
  <si>
    <t xml:space="preserve">Sold for ($)</t>
  </si>
  <si>
    <t xml:space="preserve">ZIP typical $/sqft</t>
  </si>
  <si>
    <t xml:space="preserve">Earlier sale date (from history)</t>
  </si>
  <si>
    <t xml:space="preserve">Earlier sale price ($)</t>
  </si>
  <si>
    <t xml:space="preserve">Above ZIP $/sqft</t>
  </si>
  <si>
    <t xml:space="preserve">Flip?</t>
  </si>
  <si>
    <t xml:space="preserve">Months between sales</t>
  </si>
  <si>
    <t xml:space="preserve">Est. profit ($)</t>
  </si>
  <si>
    <t xml:space="preserve">Profit % of resale</t>
  </si>
  <si>
    <t xml:space="preserve">22 Flip St</t>
  </si>
  <si>
    <t xml:space="preserve">Past Flips</t>
  </si>
  <si>
    <t xml:space="preserve">Houses that sold, then resold for a lot more within ~12 months. They prove flips work here, show the profit, and show how many flippers are active.</t>
  </si>
  <si>
    <t xml:space="preserve">Rehab $/sqft to assume when you don't know it</t>
  </si>
  <si>
    <t xml:space="preserve">Your assumption. Replace it with what local contractors tell you (Calls tab).</t>
  </si>
  <si>
    <t xml:space="preserve">Buy + sell + holding costs, as % of the resale price</t>
  </si>
  <si>
    <t xml:space="preserve">Your assumption: agent fees, closing costs, taxes, insurance, utilities while holding. 10% is a common rough figure.</t>
  </si>
  <si>
    <t xml:space="preserve">The two sales</t>
  </si>
  <si>
    <t xml:space="preserve">Calculated (rough: you don't know their real rehab)</t>
  </si>
  <si>
    <t xml:space="preserve">Bought on</t>
  </si>
  <si>
    <t xml:space="preserve">Bought for ($)</t>
  </si>
  <si>
    <t xml:space="preserve">Rehab ($) if known</t>
  </si>
  <si>
    <t xml:space="preserve">Flipper (name or LLC)</t>
  </si>
  <si>
    <t xml:space="preserve">Where you found it</t>
  </si>
  <si>
    <t xml:space="preserve">Months held</t>
  </si>
  <si>
    <t xml:space="preserve">Price jump ($)</t>
  </si>
  <si>
    <t xml:space="preserve">Bought $/sqft</t>
  </si>
  <si>
    <t xml:space="preserve">Rehab used ($)</t>
  </si>
  <si>
    <t xml:space="preserve">Other costs ($)</t>
  </si>
  <si>
    <t xml:space="preserve">456 Sample Ave</t>
  </si>
  <si>
    <t xml:space="preserve">ABC Homes LLC</t>
  </si>
  <si>
    <t xml:space="preserve">Zillow sale history</t>
  </si>
  <si>
    <t xml:space="preserve">Companies that advertise buying houses for cash in each metro ("we buy houses"). Maya can fill this from a web search; add any you find yourself.</t>
  </si>
  <si>
    <t xml:space="preserve">Company</t>
  </si>
  <si>
    <t xml:space="preserve">Website</t>
  </si>
  <si>
    <t xml:space="preserve">Found by</t>
  </si>
  <si>
    <t xml:space="preserve">Local? (Y/N)</t>
  </si>
  <si>
    <t xml:space="preserve">Example Home Buyers</t>
  </si>
  <si>
    <t xml:space="preserve">https://example.com</t>
  </si>
  <si>
    <t xml:space="preserve">You</t>
  </si>
  <si>
    <t xml:space="preserve">Y</t>
  </si>
  <si>
    <t xml:space="preserve">Calls</t>
  </si>
  <si>
    <t xml:space="preserve">Every local you talk to, with the same questions (list on the Start Here tab). When three strangers say the same thing, you can trust it.</t>
  </si>
  <si>
    <t xml:space="preserve">Who</t>
  </si>
  <si>
    <t xml:space="preserve">Their numbers</t>
  </si>
  <si>
    <t xml:space="preserve">What they said</t>
  </si>
  <si>
    <t xml:space="preserve">Date</t>
  </si>
  <si>
    <t xml:space="preserve">Name</t>
  </si>
  <si>
    <t xml:space="preserve">Role</t>
  </si>
  <si>
    <t xml:space="preserve">Phone / email</t>
  </si>
  <si>
    <t xml:space="preserve">Renovated 3-bed sells for ($)</t>
  </si>
  <si>
    <t xml:space="preserve">Cosmetic rehab ($/sqft)</t>
  </si>
  <si>
    <t xml:space="preserve">Full rehab ($/sqft)</t>
  </si>
  <si>
    <t xml:space="preserve">Rent, 3-bed ($/mo)</t>
  </si>
  <si>
    <t xml:space="preserve">Investor competition (1 few – 5 crowded)</t>
  </si>
  <si>
    <t xml:space="preserve">Best ZIPs / areas</t>
  </si>
  <si>
    <t xml:space="preserve">Avoid (and why)</t>
  </si>
  <si>
    <t xml:space="preserve">Works with out-of-state buyers? (Y/N)</t>
  </si>
  <si>
    <t xml:space="preserve">Referred you to</t>
  </si>
  <si>
    <t xml:space="preserve">Jane Example</t>
  </si>
  <si>
    <t xml:space="preserve">Agent</t>
  </si>
  <si>
    <t xml:space="preserve">jane@example.com</t>
  </si>
  <si>
    <t xml:space="preserve">Example Realty</t>
  </si>
  <si>
    <t xml:space="preserve">North side, EX001</t>
  </si>
  <si>
    <t xml:space="preserve">Flood zone by the river</t>
  </si>
  <si>
    <t xml:space="preserve">Bob (contractor)</t>
  </si>
  <si>
    <t xml:space="preserve">Deal Check</t>
  </si>
  <si>
    <t xml:space="preserve">One house at a time. Yellow cells are yours. The example numbers are filled in so you can see how it works; type over them.</t>
  </si>
  <si>
    <t xml:space="preserve">789 Practice Rd</t>
  </si>
  <si>
    <t xml:space="preserve">Square feet</t>
  </si>
  <si>
    <t xml:space="preserve">List / asking price ($)</t>
  </si>
  <si>
    <t xml:space="preserve">Comps: renovated houses that SOLD nearby (last 6 months, within ~1 mile, similar size)</t>
  </si>
  <si>
    <t xml:space="preserve">Distance (mi)</t>
  </si>
  <si>
    <t xml:space="preserve">$/sqft</t>
  </si>
  <si>
    <t xml:space="preserve">12 Comp Ln</t>
  </si>
  <si>
    <t xml:space="preserve">34 Comp Ln</t>
  </si>
  <si>
    <t xml:space="preserve">56 Comp Ln</t>
  </si>
  <si>
    <t xml:space="preserve">Lowest comp $/sqft</t>
  </si>
  <si>
    <t xml:space="preserve">Middle comp $/sqft</t>
  </si>
  <si>
    <t xml:space="preserve">Resale value at the LOWEST comp (what you should use)</t>
  </si>
  <si>
    <t xml:space="preserve">Resale value at the middle comp (for reference)</t>
  </si>
  <si>
    <t xml:space="preserve">Your numbers</t>
  </si>
  <si>
    <t xml:space="preserve">Resale value you'll use ($), blank = lowest comp</t>
  </si>
  <si>
    <t xml:space="preserve">Resale value used ($)</t>
  </si>
  <si>
    <t xml:space="preserve">Purchase price ($)</t>
  </si>
  <si>
    <t xml:space="preserve">Buying closing costs (% of price)</t>
  </si>
  <si>
    <t xml:space="preserve">Rehab estimate ($)</t>
  </si>
  <si>
    <t xml:space="preserve">Rehab cushion for surprises (%)</t>
  </si>
  <si>
    <t xml:space="preserve">Months you'll own it (buy to sale closing)</t>
  </si>
  <si>
    <t xml:space="preserve">Holding costs per month ($): taxes, insurance, utilities</t>
  </si>
  <si>
    <t xml:space="preserve">Selling costs (% of resale): agent fees + closing</t>
  </si>
  <si>
    <t xml:space="preserve">Loan (% of purchase + rehab). 0% = all cash</t>
  </si>
  <si>
    <t xml:space="preserve">Loan interest (per year)</t>
  </si>
  <si>
    <t xml:space="preserve">Loan points (% of loan)</t>
  </si>
  <si>
    <t xml:space="preserve">Profit you want (% of resale)</t>
  </si>
  <si>
    <t xml:space="preserve">Buying closing costs ($)</t>
  </si>
  <si>
    <t xml:space="preserve">Rehab with cushion ($)</t>
  </si>
  <si>
    <t xml:space="preserve">Holding costs ($)</t>
  </si>
  <si>
    <t xml:space="preserve">Loan amount ($)</t>
  </si>
  <si>
    <t xml:space="preserve">Loan interest + points ($)</t>
  </si>
  <si>
    <t xml:space="preserve">Selling costs ($)</t>
  </si>
  <si>
    <t xml:space="preserve">Total costs, everything ($)</t>
  </si>
  <si>
    <t xml:space="preserve">PROFIT ($)</t>
  </si>
  <si>
    <t xml:space="preserve">Cash you need to put in ($)</t>
  </si>
  <si>
    <t xml:space="preserve">Profit as % of resale</t>
  </si>
  <si>
    <t xml:space="preserve">Return on your cash</t>
  </si>
  <si>
    <t xml:space="preserve">Your max offer for the profit you want ($)</t>
  </si>
  <si>
    <t xml:space="preserve">Includes loan costs. Compare it to the asking price.</t>
  </si>
  <si>
    <t xml:space="preserve">"70% rule" check: resale × 70% − rehab ($)</t>
  </si>
  <si>
    <t xml:space="preserve">A common quick rule. Your own max offer above is more precise.</t>
  </si>
  <si>
    <t xml:space="preserve">Stress test: does it still make money if things go wrong?</t>
  </si>
  <si>
    <t xml:space="preserve">What goes wrong</t>
  </si>
  <si>
    <t xml:space="preserve">Resale ($)</t>
  </si>
  <si>
    <t xml:space="preserve">Rehab ($)</t>
  </si>
  <si>
    <t xml:space="preserve">Months</t>
  </si>
  <si>
    <t xml:space="preserve">Profit ($)</t>
  </si>
  <si>
    <t xml:space="preserve">Profit %</t>
  </si>
  <si>
    <t xml:space="preserve">As planned</t>
  </si>
  <si>
    <t xml:space="preserve">Resale 10% lower</t>
  </si>
  <si>
    <t xml:space="preserve">Rehab 20% higher</t>
  </si>
  <si>
    <t xml:space="preserve">Takes 3 months longer</t>
  </si>
  <si>
    <t xml:space="preserve">All three at once</t>
  </si>
  <si>
    <t xml:space="preserve">Passes the stress test?</t>
  </si>
  <si>
    <t xml:space="preserve">Second opinions (before you sign anything)</t>
  </si>
  <si>
    <t xml:space="preserve">A local agent agrees with the resale value (name)</t>
  </si>
  <si>
    <t xml:space="preserve">A lender would lend on this deal (Y/N)</t>
  </si>
  <si>
    <t xml:space="preserve">Contractor bids you got (how many)</t>
  </si>
  <si>
    <t xml:space="preserve">Inspection done, no big surprises (Y/N)</t>
  </si>
  <si>
    <t xml:space="preserve">Logged in Paper Flips tab (Y/N)</t>
  </si>
  <si>
    <t xml:space="preserve">Paper Flips</t>
  </si>
  <si>
    <t xml:space="preserve">Practice with zero risk: run your numbers on real listings (Deal Check tab), log them here, then fill in what really happened.</t>
  </si>
  <si>
    <t xml:space="preserve">Paper flips logged</t>
  </si>
  <si>
    <t xml:space="preserve">Average resale-value miss (+/-)</t>
  </si>
  <si>
    <t xml:space="preserve">Aim for under 10% before you buy for real.</t>
  </si>
  <si>
    <t xml:space="preserve">Resale estimates within 10%</t>
  </si>
  <si>
    <t xml:space="preserve">The listing</t>
  </si>
  <si>
    <t xml:space="preserve">Your numbers (before you know the answer)</t>
  </si>
  <si>
    <t xml:space="preserve">What really happened</t>
  </si>
  <si>
    <t xml:space="preserve">How close you were</t>
  </si>
  <si>
    <t xml:space="preserve">Your max offer ($)</t>
  </si>
  <si>
    <t xml:space="preserve">Your resale estimate ($)</t>
  </si>
  <si>
    <t xml:space="preserve">Your rehab estimate ($)</t>
  </si>
  <si>
    <t xml:space="preserve">Actually sold for, as-is ($)</t>
  </si>
  <si>
    <t xml:space="preserve">Renovated resale or best comp found later ($)</t>
  </si>
  <si>
    <t xml:space="preserve">Would your offer have won?</t>
  </si>
  <si>
    <t xml:space="preserve">Your offer vs. sold price</t>
  </si>
  <si>
    <t xml:space="preserve">Resale estimate miss</t>
  </si>
  <si>
    <t xml:space="preserve">Miss (+/-)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</si>
</sst>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#,##0;\-#,##0;\-"/>
    <numFmt numFmtId="168" formatCode="\$#,##0;&quot;($&quot;#,##0\);\-"/>
    <numFmt numFmtId="169" formatCode="0.0%;\-0.0%;\-"/>
    <numFmt numFmtId="170" formatCode="0.0;\-0.0;\-"/>
    <numFmt numFmtId="171" formatCode="0.00"/>
    <numFmt numFmtId="172" formatCode="yyyy\-mm\-dd"/>
    <numFmt numFmtId="173" formatCode="\$#,##0"/>
    <numFmt numFmtId="174" formatCode="0.0%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8EA9DB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edfin.com/zipcode/44102/housing-market" TargetMode="External"/><Relationship Id="rId2" Type="http://schemas.openxmlformats.org/officeDocument/2006/relationships/hyperlink" Target="https://www.redfin.com/news/data-center/" TargetMode="External"/><Relationship Id="rId3" Type="http://schemas.openxmlformats.org/officeDocument/2006/relationships/hyperlink" Target="https://www.huduser.gov/portal/datasets/fmr.html" TargetMode="External"/><Relationship Id="rId4" Type="http://schemas.openxmlformats.org/officeDocument/2006/relationships/hyperlink" Target="https://data.census.gov/table/ACSDT5Y2024.B25032" TargetMode="External"/><Relationship Id="rId5" Type="http://schemas.openxmlformats.org/officeDocument/2006/relationships/hyperlink" Target="https://data.census.gov/table/ACSDT5Y2024.B25035" TargetMode="External"/><Relationship Id="rId6" Type="http://schemas.openxmlformats.org/officeDocument/2006/relationships/hyperlink" Target="https://censusreporter.org/" TargetMode="External"/><Relationship Id="rId7" Type="http://schemas.openxmlformats.org/officeDocument/2006/relationships/hyperlink" Target="https://www.bls.gov/cew/" TargetMode="External"/><Relationship Id="rId8" Type="http://schemas.openxmlformats.org/officeDocument/2006/relationships/hyperlink" Target="https://www.census.gov/programs-surveys/popest.html" TargetMode="External"/><Relationship Id="rId9" Type="http://schemas.openxmlformats.org/officeDocument/2006/relationships/hyperlink" Target="https://www.attomdata.com/news/market-trends/flipping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D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5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5" t="s">
        <v>6</v>
      </c>
    </row>
    <row r="7" customFormat="false" ht="15" hidden="false" customHeight="false" outlineLevel="0" collapsed="false">
      <c r="B7" s="7" t="s">
        <v>7</v>
      </c>
      <c r="C7" s="5" t="s">
        <v>8</v>
      </c>
    </row>
    <row r="8" customFormat="false" ht="15" hidden="false" customHeight="false" outlineLevel="0" collapsed="false">
      <c r="B8" s="8" t="s">
        <v>9</v>
      </c>
      <c r="C8" s="5" t="s">
        <v>10</v>
      </c>
    </row>
    <row r="9" customFormat="false" ht="15" hidden="false" customHeight="false" outlineLevel="0" collapsed="false">
      <c r="B9" s="4" t="s">
        <v>11</v>
      </c>
      <c r="C9" s="5" t="s">
        <v>12</v>
      </c>
    </row>
    <row r="11" customFormat="false" ht="15" hidden="false" customHeight="false" outlineLevel="0" collapsed="false">
      <c r="B11" s="3" t="s">
        <v>13</v>
      </c>
    </row>
    <row r="12" customFormat="false" ht="27.75" hidden="false" customHeight="true" outlineLevel="0" collapsed="false">
      <c r="B12" s="9" t="s">
        <v>14</v>
      </c>
      <c r="C12" s="10" t="s">
        <v>15</v>
      </c>
      <c r="D12" s="10"/>
    </row>
    <row r="13" customFormat="false" ht="27.75" hidden="false" customHeight="true" outlineLevel="0" collapsed="false">
      <c r="B13" s="9" t="s">
        <v>16</v>
      </c>
      <c r="C13" s="10" t="s">
        <v>17</v>
      </c>
      <c r="D13" s="10"/>
    </row>
    <row r="14" customFormat="false" ht="27.75" hidden="false" customHeight="true" outlineLevel="0" collapsed="false">
      <c r="B14" s="9" t="s">
        <v>18</v>
      </c>
      <c r="C14" s="10" t="s">
        <v>19</v>
      </c>
      <c r="D14" s="10"/>
    </row>
    <row r="15" customFormat="false" ht="27.75" hidden="false" customHeight="true" outlineLevel="0" collapsed="false">
      <c r="B15" s="9" t="s">
        <v>20</v>
      </c>
      <c r="C15" s="10" t="s">
        <v>21</v>
      </c>
      <c r="D15" s="10"/>
    </row>
    <row r="16" customFormat="false" ht="27.75" hidden="false" customHeight="true" outlineLevel="0" collapsed="false">
      <c r="B16" s="9" t="s">
        <v>22</v>
      </c>
      <c r="C16" s="10" t="s">
        <v>23</v>
      </c>
      <c r="D16" s="10"/>
    </row>
    <row r="17" customFormat="false" ht="27.75" hidden="false" customHeight="true" outlineLevel="0" collapsed="false">
      <c r="B17" s="9" t="s">
        <v>24</v>
      </c>
      <c r="C17" s="10" t="s">
        <v>25</v>
      </c>
      <c r="D17" s="10"/>
    </row>
    <row r="18" customFormat="false" ht="27.75" hidden="false" customHeight="true" outlineLevel="0" collapsed="false">
      <c r="B18" s="9" t="s">
        <v>26</v>
      </c>
      <c r="C18" s="10" t="s">
        <v>27</v>
      </c>
      <c r="D18" s="10"/>
    </row>
    <row r="19" customFormat="false" ht="27.75" hidden="false" customHeight="true" outlineLevel="0" collapsed="false">
      <c r="B19" s="9" t="s">
        <v>28</v>
      </c>
      <c r="C19" s="10" t="s">
        <v>29</v>
      </c>
      <c r="D19" s="10"/>
    </row>
    <row r="20" customFormat="false" ht="27.75" hidden="false" customHeight="true" outlineLevel="0" collapsed="false">
      <c r="B20" s="9" t="s">
        <v>30</v>
      </c>
      <c r="C20" s="10" t="s">
        <v>31</v>
      </c>
      <c r="D20" s="10"/>
    </row>
    <row r="22" customFormat="false" ht="15" hidden="false" customHeight="false" outlineLevel="0" collapsed="false">
      <c r="B22" s="3" t="s">
        <v>32</v>
      </c>
    </row>
    <row r="23" customFormat="false" ht="15" hidden="false" customHeight="false" outlineLevel="0" collapsed="false">
      <c r="B23" s="11" t="s">
        <v>33</v>
      </c>
      <c r="C23" s="11" t="s">
        <v>34</v>
      </c>
      <c r="D23" s="11" t="s">
        <v>35</v>
      </c>
    </row>
    <row r="24" customFormat="false" ht="43.5" hidden="false" customHeight="true" outlineLevel="0" collapsed="false">
      <c r="B24" s="12" t="s">
        <v>36</v>
      </c>
      <c r="C24" s="13" t="s">
        <v>37</v>
      </c>
      <c r="D24" s="12" t="s">
        <v>38</v>
      </c>
    </row>
    <row r="25" customFormat="false" ht="43.5" hidden="false" customHeight="true" outlineLevel="0" collapsed="false">
      <c r="B25" s="12" t="s">
        <v>39</v>
      </c>
      <c r="C25" s="13" t="s">
        <v>40</v>
      </c>
      <c r="D25" s="12" t="s">
        <v>41</v>
      </c>
    </row>
    <row r="26" customFormat="false" ht="43.5" hidden="false" customHeight="true" outlineLevel="0" collapsed="false">
      <c r="B26" s="12" t="s">
        <v>42</v>
      </c>
      <c r="C26" s="13" t="s">
        <v>43</v>
      </c>
      <c r="D26" s="12" t="s">
        <v>44</v>
      </c>
    </row>
    <row r="27" customFormat="false" ht="43.5" hidden="false" customHeight="true" outlineLevel="0" collapsed="false">
      <c r="B27" s="12" t="s">
        <v>45</v>
      </c>
      <c r="C27" s="13" t="s">
        <v>46</v>
      </c>
      <c r="D27" s="12" t="s">
        <v>47</v>
      </c>
    </row>
    <row r="28" customFormat="false" ht="43.5" hidden="false" customHeight="true" outlineLevel="0" collapsed="false">
      <c r="B28" s="12" t="s">
        <v>48</v>
      </c>
      <c r="C28" s="13" t="s">
        <v>49</v>
      </c>
      <c r="D28" s="12" t="s">
        <v>50</v>
      </c>
    </row>
    <row r="29" customFormat="false" ht="43.5" hidden="false" customHeight="true" outlineLevel="0" collapsed="false">
      <c r="B29" s="12" t="s">
        <v>51</v>
      </c>
      <c r="C29" s="13" t="s">
        <v>52</v>
      </c>
      <c r="D29" s="12" t="s">
        <v>53</v>
      </c>
    </row>
    <row r="30" customFormat="false" ht="43.5" hidden="false" customHeight="true" outlineLevel="0" collapsed="false">
      <c r="B30" s="12" t="s">
        <v>54</v>
      </c>
      <c r="C30" s="13" t="s">
        <v>55</v>
      </c>
      <c r="D30" s="12" t="s">
        <v>56</v>
      </c>
    </row>
    <row r="31" customFormat="false" ht="43.5" hidden="false" customHeight="true" outlineLevel="0" collapsed="false">
      <c r="B31" s="12" t="s">
        <v>57</v>
      </c>
      <c r="C31" s="13" t="s">
        <v>58</v>
      </c>
      <c r="D31" s="12" t="s">
        <v>59</v>
      </c>
    </row>
    <row r="32" customFormat="false" ht="43.5" hidden="false" customHeight="true" outlineLevel="0" collapsed="false">
      <c r="B32" s="12" t="s">
        <v>60</v>
      </c>
      <c r="C32" s="12" t="s">
        <v>61</v>
      </c>
      <c r="D32" s="12" t="s">
        <v>62</v>
      </c>
    </row>
    <row r="33" customFormat="false" ht="43.5" hidden="false" customHeight="true" outlineLevel="0" collapsed="false">
      <c r="B33" s="12" t="s">
        <v>63</v>
      </c>
      <c r="C33" s="13" t="s">
        <v>64</v>
      </c>
      <c r="D33" s="12" t="s">
        <v>65</v>
      </c>
    </row>
    <row r="34" customFormat="false" ht="43.5" hidden="false" customHeight="true" outlineLevel="0" collapsed="false">
      <c r="B34" s="12" t="s">
        <v>66</v>
      </c>
      <c r="C34" s="12" t="s">
        <v>67</v>
      </c>
      <c r="D34" s="12" t="s">
        <v>68</v>
      </c>
    </row>
    <row r="36" customFormat="false" ht="15" hidden="false" customHeight="false" outlineLevel="0" collapsed="false">
      <c r="B36" s="3" t="s">
        <v>69</v>
      </c>
    </row>
    <row r="37" customFormat="false" ht="15" hidden="false" customHeight="false" outlineLevel="0" collapsed="false">
      <c r="B37" s="14" t="s">
        <v>70</v>
      </c>
      <c r="C37" s="14"/>
      <c r="D37" s="14"/>
    </row>
    <row r="38" customFormat="false" ht="15" hidden="false" customHeight="false" outlineLevel="0" collapsed="false">
      <c r="B38" s="14" t="s">
        <v>71</v>
      </c>
      <c r="C38" s="14"/>
      <c r="D38" s="14"/>
    </row>
    <row r="39" customFormat="false" ht="15" hidden="false" customHeight="false" outlineLevel="0" collapsed="false">
      <c r="B39" s="14" t="s">
        <v>72</v>
      </c>
      <c r="C39" s="14"/>
      <c r="D39" s="14"/>
    </row>
    <row r="40" customFormat="false" ht="15" hidden="false" customHeight="false" outlineLevel="0" collapsed="false">
      <c r="B40" s="14" t="s">
        <v>73</v>
      </c>
      <c r="C40" s="14"/>
      <c r="D40" s="14"/>
    </row>
    <row r="41" customFormat="false" ht="15" hidden="false" customHeight="false" outlineLevel="0" collapsed="false">
      <c r="B41" s="14" t="s">
        <v>74</v>
      </c>
      <c r="C41" s="14"/>
      <c r="D41" s="14"/>
    </row>
    <row r="42" customFormat="false" ht="15" hidden="false" customHeight="false" outlineLevel="0" collapsed="false">
      <c r="B42" s="14" t="s">
        <v>75</v>
      </c>
      <c r="C42" s="14"/>
      <c r="D42" s="14"/>
    </row>
    <row r="43" customFormat="false" ht="15" hidden="false" customHeight="false" outlineLevel="0" collapsed="false">
      <c r="B43" s="14" t="s">
        <v>76</v>
      </c>
      <c r="C43" s="14"/>
      <c r="D43" s="14"/>
    </row>
    <row r="44" customFormat="false" ht="15" hidden="false" customHeight="false" outlineLevel="0" collapsed="false">
      <c r="B44" s="14" t="s">
        <v>77</v>
      </c>
      <c r="C44" s="14"/>
      <c r="D44" s="14"/>
    </row>
    <row r="45" customFormat="false" ht="15" hidden="false" customHeight="false" outlineLevel="0" collapsed="false">
      <c r="B45" s="14" t="s">
        <v>78</v>
      </c>
      <c r="C45" s="14"/>
      <c r="D45" s="14"/>
    </row>
    <row r="47" customFormat="false" ht="15" hidden="false" customHeight="false" outlineLevel="0" collapsed="false">
      <c r="B47" s="3" t="s">
        <v>79</v>
      </c>
    </row>
    <row r="48" customFormat="false" ht="15" hidden="false" customHeight="false" outlineLevel="0" collapsed="false">
      <c r="B48" s="14" t="s">
        <v>80</v>
      </c>
      <c r="C48" s="14"/>
      <c r="D48" s="14"/>
    </row>
    <row r="49" customFormat="false" ht="15" hidden="false" customHeight="false" outlineLevel="0" collapsed="false">
      <c r="B49" s="14" t="s">
        <v>81</v>
      </c>
      <c r="C49" s="14"/>
      <c r="D49" s="14"/>
    </row>
    <row r="50" customFormat="false" ht="15" hidden="false" customHeight="false" outlineLevel="0" collapsed="false">
      <c r="B50" s="14" t="s">
        <v>82</v>
      </c>
      <c r="C50" s="14"/>
      <c r="D50" s="14"/>
    </row>
  </sheetData>
  <mergeCells count="21"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8:D48"/>
    <mergeCell ref="B49:D49"/>
    <mergeCell ref="B50:D50"/>
  </mergeCells>
  <hyperlinks>
    <hyperlink ref="C24" r:id="rId1" display="Redfin ZIP housing market page&#10;https://www.redfin.com/zipcode/44102/housing-market"/>
    <hyperlink ref="C25" r:id="rId2" display="Redfin Data Center&#10;https://www.redfin.com/news/data-center/"/>
    <hyperlink ref="C26" r:id="rId3" display="HUD Fair Market Rents (by ZIP), or Zillow rentals&#10;https://www.huduser.gov/portal/datasets/fmr.html"/>
    <hyperlink ref="C27" r:id="rId4" display="Census table B25032 (data.census.gov)&#10;https://data.census.gov/table/ACSDT5Y2024.B25032"/>
    <hyperlink ref="C28" r:id="rId5" display="Census table B25035&#10;https://data.census.gov/table/ACSDT5Y2024.B25035"/>
    <hyperlink ref="C29" r:id="rId6" display="Census table B19013, or Census Reporter&#10;https://censusreporter.org/"/>
    <hyperlink ref="C30" r:id="rId7" display="BLS QCEW (county employment)&#10;https://www.bls.gov/cew/"/>
    <hyperlink ref="C31" r:id="rId8" display="Census population estimates&#10;https://www.census.gov/programs-surveys/popest.html"/>
    <hyperlink ref="C33" r:id="rId9" display="ATTOM home flipping report (quarterly)&#10;https://www.attomdata.com/news/market-trends/flipp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4" min="12" style="0" width="8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9" min="18" style="0" width="9"/>
    <col collapsed="false" customWidth="true" hidden="false" outlineLevel="0" max="20" min="20" style="0" width="8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33" min="24" style="0" width="8"/>
  </cols>
  <sheetData>
    <row r="1" customFormat="false" ht="21.75" hidden="false" customHeight="true" outlineLevel="0" collapsed="false">
      <c r="A1" s="15" t="s">
        <v>83</v>
      </c>
    </row>
    <row r="2" customFormat="false" ht="15" hidden="false" customHeight="false" outlineLevel="0" collapsed="false">
      <c r="A2" s="2" t="s">
        <v>84</v>
      </c>
    </row>
    <row r="5" customFormat="false" ht="15" hidden="false" customHeight="false" outlineLevel="0" collapsed="false">
      <c r="X5" s="16" t="s">
        <v>85</v>
      </c>
      <c r="AH5" s="9" t="n">
        <f aca="false">SUM(X6:AG6)</f>
        <v>100</v>
      </c>
      <c r="AI5" s="2" t="s">
        <v>86</v>
      </c>
    </row>
    <row r="6" customFormat="false" ht="15" hidden="false" customHeight="false" outlineLevel="0" collapsed="false">
      <c r="A6" s="17"/>
      <c r="B6" s="17" t="s">
        <v>87</v>
      </c>
      <c r="C6" s="17"/>
      <c r="D6" s="17"/>
      <c r="E6" s="17"/>
      <c r="F6" s="17"/>
      <c r="G6" s="17"/>
      <c r="H6" s="17"/>
      <c r="I6" s="17" t="s">
        <v>88</v>
      </c>
      <c r="J6" s="17"/>
      <c r="K6" s="17"/>
      <c r="L6" s="17" t="s">
        <v>89</v>
      </c>
      <c r="M6" s="17"/>
      <c r="N6" s="17"/>
      <c r="O6" s="17" t="s">
        <v>90</v>
      </c>
      <c r="P6" s="17"/>
      <c r="Q6" s="17"/>
      <c r="R6" s="17"/>
      <c r="S6" s="17" t="s">
        <v>91</v>
      </c>
      <c r="T6" s="17" t="s">
        <v>92</v>
      </c>
      <c r="U6" s="17"/>
      <c r="V6" s="17"/>
      <c r="W6" s="17" t="s">
        <v>93</v>
      </c>
      <c r="X6" s="18" t="n">
        <v>15</v>
      </c>
      <c r="Y6" s="18" t="n">
        <v>10</v>
      </c>
      <c r="Z6" s="18" t="n">
        <v>10</v>
      </c>
      <c r="AA6" s="18" t="n">
        <v>5</v>
      </c>
      <c r="AB6" s="18" t="n">
        <v>15</v>
      </c>
      <c r="AC6" s="18" t="n">
        <v>15</v>
      </c>
      <c r="AD6" s="18" t="n">
        <v>10</v>
      </c>
      <c r="AE6" s="18" t="n">
        <v>8</v>
      </c>
      <c r="AF6" s="18" t="n">
        <v>7</v>
      </c>
      <c r="AG6" s="18" t="n">
        <v>5</v>
      </c>
    </row>
    <row r="7" customFormat="false" ht="42" hidden="false" customHeight="true" outlineLevel="0" collapsed="false">
      <c r="A7" s="19" t="s">
        <v>94</v>
      </c>
      <c r="B7" s="19" t="s">
        <v>95</v>
      </c>
      <c r="C7" s="19" t="s">
        <v>96</v>
      </c>
      <c r="D7" s="19" t="s">
        <v>97</v>
      </c>
      <c r="E7" s="19" t="s">
        <v>98</v>
      </c>
      <c r="F7" s="19" t="s">
        <v>99</v>
      </c>
      <c r="G7" s="19" t="s">
        <v>100</v>
      </c>
      <c r="H7" s="19" t="s">
        <v>101</v>
      </c>
      <c r="I7" s="19" t="s">
        <v>102</v>
      </c>
      <c r="J7" s="19" t="s">
        <v>103</v>
      </c>
      <c r="K7" s="19" t="s">
        <v>104</v>
      </c>
      <c r="L7" s="19" t="s">
        <v>105</v>
      </c>
      <c r="M7" s="19" t="s">
        <v>106</v>
      </c>
      <c r="N7" s="19" t="s">
        <v>107</v>
      </c>
      <c r="O7" s="19" t="s">
        <v>108</v>
      </c>
      <c r="P7" s="19" t="s">
        <v>109</v>
      </c>
      <c r="Q7" s="19" t="s">
        <v>110</v>
      </c>
      <c r="R7" s="19" t="s">
        <v>111</v>
      </c>
      <c r="S7" s="19" t="s">
        <v>112</v>
      </c>
      <c r="T7" s="19" t="s">
        <v>113</v>
      </c>
      <c r="U7" s="19" t="s">
        <v>57</v>
      </c>
      <c r="V7" s="19" t="s">
        <v>114</v>
      </c>
      <c r="W7" s="19" t="s">
        <v>115</v>
      </c>
      <c r="X7" s="19" t="s">
        <v>116</v>
      </c>
      <c r="Y7" s="19" t="s">
        <v>117</v>
      </c>
      <c r="Z7" s="19" t="s">
        <v>118</v>
      </c>
      <c r="AA7" s="19" t="s">
        <v>119</v>
      </c>
      <c r="AB7" s="19" t="s">
        <v>120</v>
      </c>
      <c r="AC7" s="19" t="s">
        <v>121</v>
      </c>
      <c r="AD7" s="19" t="s">
        <v>122</v>
      </c>
      <c r="AE7" s="19" t="s">
        <v>123</v>
      </c>
      <c r="AF7" s="19" t="s">
        <v>124</v>
      </c>
      <c r="AG7" s="19" t="s">
        <v>125</v>
      </c>
    </row>
    <row r="8" customFormat="false" ht="15" hidden="false" customHeight="false" outlineLevel="0" collapsed="false">
      <c r="A8" s="20" t="s">
        <v>126</v>
      </c>
      <c r="B8" s="21" t="n">
        <f aca="false">IF($A8="","",COUNTIF(ZIPs!$A$8:$A$107,$A8))</f>
        <v>1</v>
      </c>
      <c r="C8" s="22" t="n">
        <f aca="false">IF($A8="","",IF($B8=0,"",IFERROR(AVERAGEIFS(ZIPs!$D$8:$D$107,ZIPs!$A$8:$A$107,$A8),"")))</f>
        <v>185000</v>
      </c>
      <c r="D8" s="21" t="n">
        <f aca="false">IF($A8="","",IF($B8=0,"",SUMIFS(ZIPs!$E$8:$E$107,ZIPs!$A$8:$A$107,$A8)))</f>
        <v>42</v>
      </c>
      <c r="E8" s="21" t="n">
        <f aca="false">IF($A8="","",IF($B8=0,"",IFERROR(AVERAGEIFS(ZIPs!$G$8:$G$107,ZIPs!$A$8:$A$107,$A8),"")))</f>
        <v>34</v>
      </c>
      <c r="F8" s="23" t="n">
        <f aca="false">IF($A8="","",IF($B8=0,"",IFERROR(AVERAGEIFS(ZIPs!$J$8:$J$107,ZIPs!$A$8:$A$107,$A8),"")))</f>
        <v>0.041</v>
      </c>
      <c r="G8" s="23" t="n">
        <f aca="false">IF($A8="","",IF($B8=0,"",IFERROR(AVERAGEIFS(ZIPs!$S$8:$S$107,ZIPs!$A$8:$A$107,$A8),"")))</f>
        <v>0.0940540540540541</v>
      </c>
      <c r="H8" s="23" t="n">
        <f aca="false">IF($A8="","",IF($B8=0,"",IFERROR(AVERAGEIFS(ZIPs!$T$8:$T$107,ZIPs!$A$8:$A$107,$A8),"")))</f>
        <v>0.177474402730375</v>
      </c>
      <c r="I8" s="21" t="n">
        <f aca="false">IF($A8="","",COUNTIF('Past Flips'!$A$8:$A$307,$A8)+COUNTIFS('Flip Candidates'!$A$8:$A$207,$A8,'Flip Candidates'!$O$8:$O$207,"Likely flip"))</f>
        <v>2</v>
      </c>
      <c r="J8" s="24" t="n">
        <f aca="false">IF(OR($A8="",D8="",D8=0),"",I8/(D8*4))</f>
        <v>0.0119047619047619</v>
      </c>
      <c r="K8" s="23" t="n">
        <f aca="false">IF($A8="","",IFERROR((SUMIFS('Past Flips'!$T$8:$T$307,'Past Flips'!$A$8:$A$307,$A8)+SUMIFS('Flip Candidates'!$R$8:$R$207,'Flip Candidates'!$A$8:$A$207,$A8,'Flip Candidates'!$O$8:$O$207,"Likely flip"))/(COUNTIFS('Past Flips'!$A$8:$A$307,$A8,'Past Flips'!$T$8:$T$307,"&lt;&gt;")+COUNTIFS('Flip Candidates'!$A$8:$A$207,$A8,'Flip Candidates'!$O$8:$O$207,"Likely flip")),""))</f>
        <v>0.177058317989228</v>
      </c>
      <c r="L8" s="21" t="n">
        <f aca="false">IF($A8="","",COUNTIF('Listing Watch'!$A$8:$A$307,$A8))</f>
        <v>1</v>
      </c>
      <c r="M8" s="21" t="n">
        <f aca="false">IF($A8="","",IFERROR(AVERAGEIFS('Listing Watch'!$S$8:$S$307,'Listing Watch'!$A$8:$A$307,$A8),""))</f>
        <v>31</v>
      </c>
      <c r="N8" s="23" t="n">
        <f aca="false">IF(OR($A8="",L8=0),"",COUNTIFS('Listing Watch'!$A$8:$A$307,$A8,'Listing Watch'!$R$8:$R$307,"&gt;0")/L8)</f>
        <v>1</v>
      </c>
      <c r="O8" s="21" t="n">
        <f aca="false">IF($A8="","",COUNTIF(Calls!$A$8:$A$307,$A8))</f>
        <v>1</v>
      </c>
      <c r="P8" s="25" t="n">
        <f aca="false">IF($A8="","",IFERROR(AVERAGEIFS(Calls!$K$8:$K$307,Calls!$A$8:$A$307,$A8),""))</f>
        <v>3</v>
      </c>
      <c r="Q8" s="22" t="n">
        <f aca="false">IF($A8="","",IFERROR(AVERAGEIFS(Calls!$G$8:$G$307,Calls!$A$8:$A$307,$A8),""))</f>
        <v>215000</v>
      </c>
      <c r="R8" s="22" t="n">
        <f aca="false">IF($A8="","",IFERROR(AVERAGEIFS(Calls!$H$8:$H$307,Calls!$A$8:$A$307,$A8),""))</f>
        <v>25</v>
      </c>
      <c r="S8" s="21" t="n">
        <f aca="false">IF($A8="","",IF(COUNTIF(Competition!$A$8:$A$207,$A8)=0,"",COUNTIF(Competition!$A$8:$A$207,$A8)))</f>
        <v>1</v>
      </c>
      <c r="T8" s="26" t="n">
        <v>0.018</v>
      </c>
      <c r="U8" s="26" t="n">
        <v>0.024</v>
      </c>
      <c r="V8" s="27"/>
      <c r="W8" s="28" t="n">
        <f aca="false">IF($A8="","",IFERROR(ROUND(100*SUMPRODUCT($X$6:$AG$6,X8:AG8)/SUMPRODUCT($X$6:$AG$6,--(X8:AG8&lt;&gt;"")),0),""))</f>
        <v>100</v>
      </c>
      <c r="X8" s="29" t="n">
        <f aca="false">IF(OR($A8="",D8=""),"",IF(COUNT(D$8:D$13)&lt;2,1,(COUNT(D$8:D$13)-RANK(D8,D$8:D$13,0))/(COUNT(D$8:D$13)-1)))</f>
        <v>1</v>
      </c>
      <c r="Y8" s="29" t="n">
        <f aca="false">IF(OR($A8="",E8=""),"",IF(COUNT(E$8:E$13)&lt;2,1,(COUNT(E$8:E$13)-RANK(E8,E$8:E$13,1))/(COUNT(E$8:E$13)-1)))</f>
        <v>1</v>
      </c>
      <c r="Z8" s="29" t="n">
        <f aca="false">IF(OR($A8="",F8=""),"",IF(COUNT(F$8:F$13)&lt;2,1,(COUNT(F$8:F$13)-RANK(F8,F$8:F$13,0))/(COUNT(F$8:F$13)-1)))</f>
        <v>1</v>
      </c>
      <c r="AA8" s="29" t="n">
        <f aca="false">IF(OR($A8="",G8=""),"",IF(COUNT(G$8:G$13)&lt;2,1,(COUNT(G$8:G$13)-RANK(G8,G$8:G$13,0))/(COUNT(G$8:G$13)-1)))</f>
        <v>1</v>
      </c>
      <c r="AB8" s="29" t="n">
        <f aca="false">IF(OR($A8="",J8=""),"",IF(COUNT(J$8:J$13)&lt;2,1,(COUNT(J$8:J$13)-RANK(J8,J$8:J$13,1))/(COUNT(J$8:J$13)-1)))</f>
        <v>1</v>
      </c>
      <c r="AC8" s="29" t="n">
        <f aca="false">IF(OR($A8="",P8=""),"",IF(COUNT(P$8:P$13)&lt;2,1,(COUNT(P$8:P$13)-RANK(P8,P$8:P$13,1))/(COUNT(P$8:P$13)-1)))</f>
        <v>1</v>
      </c>
      <c r="AD8" s="29" t="n">
        <f aca="false">IF(OR($A8="",S8=""),"",IF(COUNT(S$8:S$13)&lt;2,1,(COUNT(S$8:S$13)-RANK(S8,S$8:S$13,1))/(COUNT(S$8:S$13)-1)))</f>
        <v>1</v>
      </c>
      <c r="AE8" s="29" t="n">
        <f aca="false">IF(OR($A8="",T8=""),"",IF(COUNT(T$8:T$13)&lt;2,1,(COUNT(T$8:T$13)-RANK(T8,T$8:T$13,0))/(COUNT(T$8:T$13)-1)))</f>
        <v>1</v>
      </c>
      <c r="AF8" s="29" t="n">
        <f aca="false">IF(OR($A8="",U8=""),"",IF(COUNT(U$8:U$13)&lt;2,1,(COUNT(U$8:U$13)-RANK(U8,U$8:U$13,0))/(COUNT(U$8:U$13)-1)))</f>
        <v>1</v>
      </c>
      <c r="AG8" s="29" t="str">
        <f aca="false">IF(OR($A8="",V8=""),"",IF(COUNT(V$8:V$13)&lt;2,1,(COUNT(V$8:V$13)-RANK(V8,V$8:V$13,0))/(COUNT(V$8:V$13)-1)))</f>
        <v/>
      </c>
    </row>
    <row r="9" customFormat="false" ht="15" hidden="false" customHeight="false" outlineLevel="0" collapsed="false">
      <c r="A9" s="30"/>
      <c r="B9" s="21" t="str">
        <f aca="false">IF($A9="","",COUNTIF(ZIPs!$A$8:$A$107,$A9))</f>
        <v/>
      </c>
      <c r="C9" s="22" t="str">
        <f aca="false">IF($A9="","",IF($B9=0,"",IFERROR(AVERAGEIFS(ZIPs!$D$8:$D$107,ZIPs!$A$8:$A$107,$A9),"")))</f>
        <v/>
      </c>
      <c r="D9" s="21" t="str">
        <f aca="false">IF($A9="","",IF($B9=0,"",SUMIFS(ZIPs!$E$8:$E$107,ZIPs!$A$8:$A$107,$A9)))</f>
        <v/>
      </c>
      <c r="E9" s="21" t="str">
        <f aca="false">IF($A9="","",IF($B9=0,"",IFERROR(AVERAGEIFS(ZIPs!$G$8:$G$107,ZIPs!$A$8:$A$107,$A9),"")))</f>
        <v/>
      </c>
      <c r="F9" s="23" t="str">
        <f aca="false">IF($A9="","",IF($B9=0,"",IFERROR(AVERAGEIFS(ZIPs!$J$8:$J$107,ZIPs!$A$8:$A$107,$A9),"")))</f>
        <v/>
      </c>
      <c r="G9" s="23" t="str">
        <f aca="false">IF($A9="","",IF($B9=0,"",IFERROR(AVERAGEIFS(ZIPs!$S$8:$S$107,ZIPs!$A$8:$A$107,$A9),"")))</f>
        <v/>
      </c>
      <c r="H9" s="23" t="str">
        <f aca="false">IF($A9="","",IF($B9=0,"",IFERROR(AVERAGEIFS(ZIPs!$T$8:$T$107,ZIPs!$A$8:$A$107,$A9),"")))</f>
        <v/>
      </c>
      <c r="I9" s="21" t="str">
        <f aca="false">IF($A9="","",COUNTIF('Past Flips'!$A$8:$A$307,$A9)+COUNTIFS('Flip Candidates'!$A$8:$A$207,$A9,'Flip Candidates'!$O$8:$O$207,"Likely flip"))</f>
        <v/>
      </c>
      <c r="J9" s="24" t="str">
        <f aca="false">IF(OR($A9="",D9="",D9=0),"",I9/(D9*4))</f>
        <v/>
      </c>
      <c r="K9" s="23" t="str">
        <f aca="false">IF($A9="","",IFERROR((SUMIFS('Past Flips'!$T$8:$T$307,'Past Flips'!$A$8:$A$307,$A9)+SUMIFS('Flip Candidates'!$R$8:$R$207,'Flip Candidates'!$A$8:$A$207,$A9,'Flip Candidates'!$O$8:$O$207,"Likely flip"))/(COUNTIFS('Past Flips'!$A$8:$A$307,$A9,'Past Flips'!$T$8:$T$307,"&lt;&gt;")+COUNTIFS('Flip Candidates'!$A$8:$A$207,$A9,'Flip Candidates'!$O$8:$O$207,"Likely flip")),""))</f>
        <v/>
      </c>
      <c r="L9" s="21" t="str">
        <f aca="false">IF($A9="","",COUNTIF('Listing Watch'!$A$8:$A$307,$A9))</f>
        <v/>
      </c>
      <c r="M9" s="21" t="str">
        <f aca="false">IF($A9="","",IFERROR(AVERAGEIFS('Listing Watch'!$S$8:$S$307,'Listing Watch'!$A$8:$A$307,$A9),""))</f>
        <v/>
      </c>
      <c r="N9" s="23" t="str">
        <f aca="false">IF(OR($A9="",L9=0),"",COUNTIFS('Listing Watch'!$A$8:$A$307,$A9,'Listing Watch'!$R$8:$R$307,"&gt;0")/L9)</f>
        <v/>
      </c>
      <c r="O9" s="21" t="str">
        <f aca="false">IF($A9="","",COUNTIF(Calls!$A$8:$A$307,$A9))</f>
        <v/>
      </c>
      <c r="P9" s="25" t="str">
        <f aca="false">IF($A9="","",IFERROR(AVERAGEIFS(Calls!$K$8:$K$307,Calls!$A$8:$A$307,$A9),""))</f>
        <v/>
      </c>
      <c r="Q9" s="22" t="str">
        <f aca="false">IF($A9="","",IFERROR(AVERAGEIFS(Calls!$G$8:$G$307,Calls!$A$8:$A$307,$A9),""))</f>
        <v/>
      </c>
      <c r="R9" s="22" t="str">
        <f aca="false">IF($A9="","",IFERROR(AVERAGEIFS(Calls!$H$8:$H$307,Calls!$A$8:$A$307,$A9),""))</f>
        <v/>
      </c>
      <c r="S9" s="21" t="str">
        <f aca="false">IF($A9="","",IF(COUNTIF(Competition!$A$8:$A$207,$A9)=0,"",COUNTIF(Competition!$A$8:$A$207,$A9)))</f>
        <v/>
      </c>
      <c r="T9" s="31"/>
      <c r="U9" s="31"/>
      <c r="V9" s="27"/>
      <c r="W9" s="28" t="str">
        <f aca="false">IF($A9="","",IFERROR(ROUND(100*SUMPRODUCT($X$6:$AG$6,X9:AG9)/SUMPRODUCT($X$6:$AG$6,--(X9:AG9&lt;&gt;"")),0),""))</f>
        <v/>
      </c>
      <c r="X9" s="29" t="str">
        <f aca="false">IF(OR($A9="",D9=""),"",IF(COUNT(D$8:D$13)&lt;2,1,(COUNT(D$8:D$13)-RANK(D9,D$8:D$13,0))/(COUNT(D$8:D$13)-1)))</f>
        <v/>
      </c>
      <c r="Y9" s="29" t="str">
        <f aca="false">IF(OR($A9="",E9=""),"",IF(COUNT(E$8:E$13)&lt;2,1,(COUNT(E$8:E$13)-RANK(E9,E$8:E$13,1))/(COUNT(E$8:E$13)-1)))</f>
        <v/>
      </c>
      <c r="Z9" s="29" t="str">
        <f aca="false">IF(OR($A9="",F9=""),"",IF(COUNT(F$8:F$13)&lt;2,1,(COUNT(F$8:F$13)-RANK(F9,F$8:F$13,0))/(COUNT(F$8:F$13)-1)))</f>
        <v/>
      </c>
      <c r="AA9" s="29" t="str">
        <f aca="false">IF(OR($A9="",G9=""),"",IF(COUNT(G$8:G$13)&lt;2,1,(COUNT(G$8:G$13)-RANK(G9,G$8:G$13,0))/(COUNT(G$8:G$13)-1)))</f>
        <v/>
      </c>
      <c r="AB9" s="29" t="str">
        <f aca="false">IF(OR($A9="",J9=""),"",IF(COUNT(J$8:J$13)&lt;2,1,(COUNT(J$8:J$13)-RANK(J9,J$8:J$13,1))/(COUNT(J$8:J$13)-1)))</f>
        <v/>
      </c>
      <c r="AC9" s="29" t="str">
        <f aca="false">IF(OR($A9="",P9=""),"",IF(COUNT(P$8:P$13)&lt;2,1,(COUNT(P$8:P$13)-RANK(P9,P$8:P$13,1))/(COUNT(P$8:P$13)-1)))</f>
        <v/>
      </c>
      <c r="AD9" s="29" t="str">
        <f aca="false">IF(OR($A9="",S9=""),"",IF(COUNT(S$8:S$13)&lt;2,1,(COUNT(S$8:S$13)-RANK(S9,S$8:S$13,1))/(COUNT(S$8:S$13)-1)))</f>
        <v/>
      </c>
      <c r="AE9" s="29" t="str">
        <f aca="false">IF(OR($A9="",T9=""),"",IF(COUNT(T$8:T$13)&lt;2,1,(COUNT(T$8:T$13)-RANK(T9,T$8:T$13,0))/(COUNT(T$8:T$13)-1)))</f>
        <v/>
      </c>
      <c r="AF9" s="29" t="str">
        <f aca="false">IF(OR($A9="",U9=""),"",IF(COUNT(U$8:U$13)&lt;2,1,(COUNT(U$8:U$13)-RANK(U9,U$8:U$13,0))/(COUNT(U$8:U$13)-1)))</f>
        <v/>
      </c>
      <c r="AG9" s="29" t="str">
        <f aca="false">IF(OR($A9="",V9=""),"",IF(COUNT(V$8:V$13)&lt;2,1,(COUNT(V$8:V$13)-RANK(V9,V$8:V$13,0))/(COUNT(V$8:V$13)-1)))</f>
        <v/>
      </c>
    </row>
    <row r="10" customFormat="false" ht="15" hidden="false" customHeight="false" outlineLevel="0" collapsed="false">
      <c r="A10" s="30"/>
      <c r="B10" s="21" t="str">
        <f aca="false">IF($A10="","",COUNTIF(ZIPs!$A$8:$A$107,$A10))</f>
        <v/>
      </c>
      <c r="C10" s="22" t="str">
        <f aca="false">IF($A10="","",IF($B10=0,"",IFERROR(AVERAGEIFS(ZIPs!$D$8:$D$107,ZIPs!$A$8:$A$107,$A10),"")))</f>
        <v/>
      </c>
      <c r="D10" s="21" t="str">
        <f aca="false">IF($A10="","",IF($B10=0,"",SUMIFS(ZIPs!$E$8:$E$107,ZIPs!$A$8:$A$107,$A10)))</f>
        <v/>
      </c>
      <c r="E10" s="21" t="str">
        <f aca="false">IF($A10="","",IF($B10=0,"",IFERROR(AVERAGEIFS(ZIPs!$G$8:$G$107,ZIPs!$A$8:$A$107,$A10),"")))</f>
        <v/>
      </c>
      <c r="F10" s="23" t="str">
        <f aca="false">IF($A10="","",IF($B10=0,"",IFERROR(AVERAGEIFS(ZIPs!$J$8:$J$107,ZIPs!$A$8:$A$107,$A10),"")))</f>
        <v/>
      </c>
      <c r="G10" s="23" t="str">
        <f aca="false">IF($A10="","",IF($B10=0,"",IFERROR(AVERAGEIFS(ZIPs!$S$8:$S$107,ZIPs!$A$8:$A$107,$A10),"")))</f>
        <v/>
      </c>
      <c r="H10" s="23" t="str">
        <f aca="false">IF($A10="","",IF($B10=0,"",IFERROR(AVERAGEIFS(ZIPs!$T$8:$T$107,ZIPs!$A$8:$A$107,$A10),"")))</f>
        <v/>
      </c>
      <c r="I10" s="21" t="str">
        <f aca="false">IF($A10="","",COUNTIF('Past Flips'!$A$8:$A$307,$A10)+COUNTIFS('Flip Candidates'!$A$8:$A$207,$A10,'Flip Candidates'!$O$8:$O$207,"Likely flip"))</f>
        <v/>
      </c>
      <c r="J10" s="24" t="str">
        <f aca="false">IF(OR($A10="",D10="",D10=0),"",I10/(D10*4))</f>
        <v/>
      </c>
      <c r="K10" s="23" t="str">
        <f aca="false">IF($A10="","",IFERROR((SUMIFS('Past Flips'!$T$8:$T$307,'Past Flips'!$A$8:$A$307,$A10)+SUMIFS('Flip Candidates'!$R$8:$R$207,'Flip Candidates'!$A$8:$A$207,$A10,'Flip Candidates'!$O$8:$O$207,"Likely flip"))/(COUNTIFS('Past Flips'!$A$8:$A$307,$A10,'Past Flips'!$T$8:$T$307,"&lt;&gt;")+COUNTIFS('Flip Candidates'!$A$8:$A$207,$A10,'Flip Candidates'!$O$8:$O$207,"Likely flip")),""))</f>
        <v/>
      </c>
      <c r="L10" s="21" t="str">
        <f aca="false">IF($A10="","",COUNTIF('Listing Watch'!$A$8:$A$307,$A10))</f>
        <v/>
      </c>
      <c r="M10" s="21" t="str">
        <f aca="false">IF($A10="","",IFERROR(AVERAGEIFS('Listing Watch'!$S$8:$S$307,'Listing Watch'!$A$8:$A$307,$A10),""))</f>
        <v/>
      </c>
      <c r="N10" s="23" t="str">
        <f aca="false">IF(OR($A10="",L10=0),"",COUNTIFS('Listing Watch'!$A$8:$A$307,$A10,'Listing Watch'!$R$8:$R$307,"&gt;0")/L10)</f>
        <v/>
      </c>
      <c r="O10" s="21" t="str">
        <f aca="false">IF($A10="","",COUNTIF(Calls!$A$8:$A$307,$A10))</f>
        <v/>
      </c>
      <c r="P10" s="25" t="str">
        <f aca="false">IF($A10="","",IFERROR(AVERAGEIFS(Calls!$K$8:$K$307,Calls!$A$8:$A$307,$A10),""))</f>
        <v/>
      </c>
      <c r="Q10" s="22" t="str">
        <f aca="false">IF($A10="","",IFERROR(AVERAGEIFS(Calls!$G$8:$G$307,Calls!$A$8:$A$307,$A10),""))</f>
        <v/>
      </c>
      <c r="R10" s="22" t="str">
        <f aca="false">IF($A10="","",IFERROR(AVERAGEIFS(Calls!$H$8:$H$307,Calls!$A$8:$A$307,$A10),""))</f>
        <v/>
      </c>
      <c r="S10" s="21" t="str">
        <f aca="false">IF($A10="","",IF(COUNTIF(Competition!$A$8:$A$207,$A10)=0,"",COUNTIF(Competition!$A$8:$A$207,$A10)))</f>
        <v/>
      </c>
      <c r="T10" s="31"/>
      <c r="U10" s="31"/>
      <c r="V10" s="27"/>
      <c r="W10" s="28" t="str">
        <f aca="false">IF($A10="","",IFERROR(ROUND(100*SUMPRODUCT($X$6:$AG$6,X10:AG10)/SUMPRODUCT($X$6:$AG$6,--(X10:AG10&lt;&gt;"")),0),""))</f>
        <v/>
      </c>
      <c r="X10" s="29" t="str">
        <f aca="false">IF(OR($A10="",D10=""),"",IF(COUNT(D$8:D$13)&lt;2,1,(COUNT(D$8:D$13)-RANK(D10,D$8:D$13,0))/(COUNT(D$8:D$13)-1)))</f>
        <v/>
      </c>
      <c r="Y10" s="29" t="str">
        <f aca="false">IF(OR($A10="",E10=""),"",IF(COUNT(E$8:E$13)&lt;2,1,(COUNT(E$8:E$13)-RANK(E10,E$8:E$13,1))/(COUNT(E$8:E$13)-1)))</f>
        <v/>
      </c>
      <c r="Z10" s="29" t="str">
        <f aca="false">IF(OR($A10="",F10=""),"",IF(COUNT(F$8:F$13)&lt;2,1,(COUNT(F$8:F$13)-RANK(F10,F$8:F$13,0))/(COUNT(F$8:F$13)-1)))</f>
        <v/>
      </c>
      <c r="AA10" s="29" t="str">
        <f aca="false">IF(OR($A10="",G10=""),"",IF(COUNT(G$8:G$13)&lt;2,1,(COUNT(G$8:G$13)-RANK(G10,G$8:G$13,0))/(COUNT(G$8:G$13)-1)))</f>
        <v/>
      </c>
      <c r="AB10" s="29" t="str">
        <f aca="false">IF(OR($A10="",J10=""),"",IF(COUNT(J$8:J$13)&lt;2,1,(COUNT(J$8:J$13)-RANK(J10,J$8:J$13,1))/(COUNT(J$8:J$13)-1)))</f>
        <v/>
      </c>
      <c r="AC10" s="29" t="str">
        <f aca="false">IF(OR($A10="",P10=""),"",IF(COUNT(P$8:P$13)&lt;2,1,(COUNT(P$8:P$13)-RANK(P10,P$8:P$13,1))/(COUNT(P$8:P$13)-1)))</f>
        <v/>
      </c>
      <c r="AD10" s="29" t="str">
        <f aca="false">IF(OR($A10="",S10=""),"",IF(COUNT(S$8:S$13)&lt;2,1,(COUNT(S$8:S$13)-RANK(S10,S$8:S$13,1))/(COUNT(S$8:S$13)-1)))</f>
        <v/>
      </c>
      <c r="AE10" s="29" t="str">
        <f aca="false">IF(OR($A10="",T10=""),"",IF(COUNT(T$8:T$13)&lt;2,1,(COUNT(T$8:T$13)-RANK(T10,T$8:T$13,0))/(COUNT(T$8:T$13)-1)))</f>
        <v/>
      </c>
      <c r="AF10" s="29" t="str">
        <f aca="false">IF(OR($A10="",U10=""),"",IF(COUNT(U$8:U$13)&lt;2,1,(COUNT(U$8:U$13)-RANK(U10,U$8:U$13,0))/(COUNT(U$8:U$13)-1)))</f>
        <v/>
      </c>
      <c r="AG10" s="29" t="str">
        <f aca="false">IF(OR($A10="",V10=""),"",IF(COUNT(V$8:V$13)&lt;2,1,(COUNT(V$8:V$13)-RANK(V10,V$8:V$13,0))/(COUNT(V$8:V$13)-1)))</f>
        <v/>
      </c>
    </row>
    <row r="11" customFormat="false" ht="15" hidden="false" customHeight="false" outlineLevel="0" collapsed="false">
      <c r="A11" s="30"/>
      <c r="B11" s="21" t="str">
        <f aca="false">IF($A11="","",COUNTIF(ZIPs!$A$8:$A$107,$A11))</f>
        <v/>
      </c>
      <c r="C11" s="22" t="str">
        <f aca="false">IF($A11="","",IF($B11=0,"",IFERROR(AVERAGEIFS(ZIPs!$D$8:$D$107,ZIPs!$A$8:$A$107,$A11),"")))</f>
        <v/>
      </c>
      <c r="D11" s="21" t="str">
        <f aca="false">IF($A11="","",IF($B11=0,"",SUMIFS(ZIPs!$E$8:$E$107,ZIPs!$A$8:$A$107,$A11)))</f>
        <v/>
      </c>
      <c r="E11" s="21" t="str">
        <f aca="false">IF($A11="","",IF($B11=0,"",IFERROR(AVERAGEIFS(ZIPs!$G$8:$G$107,ZIPs!$A$8:$A$107,$A11),"")))</f>
        <v/>
      </c>
      <c r="F11" s="23" t="str">
        <f aca="false">IF($A11="","",IF($B11=0,"",IFERROR(AVERAGEIFS(ZIPs!$J$8:$J$107,ZIPs!$A$8:$A$107,$A11),"")))</f>
        <v/>
      </c>
      <c r="G11" s="23" t="str">
        <f aca="false">IF($A11="","",IF($B11=0,"",IFERROR(AVERAGEIFS(ZIPs!$S$8:$S$107,ZIPs!$A$8:$A$107,$A11),"")))</f>
        <v/>
      </c>
      <c r="H11" s="23" t="str">
        <f aca="false">IF($A11="","",IF($B11=0,"",IFERROR(AVERAGEIFS(ZIPs!$T$8:$T$107,ZIPs!$A$8:$A$107,$A11),"")))</f>
        <v/>
      </c>
      <c r="I11" s="21" t="str">
        <f aca="false">IF($A11="","",COUNTIF('Past Flips'!$A$8:$A$307,$A11)+COUNTIFS('Flip Candidates'!$A$8:$A$207,$A11,'Flip Candidates'!$O$8:$O$207,"Likely flip"))</f>
        <v/>
      </c>
      <c r="J11" s="24" t="str">
        <f aca="false">IF(OR($A11="",D11="",D11=0),"",I11/(D11*4))</f>
        <v/>
      </c>
      <c r="K11" s="23" t="str">
        <f aca="false">IF($A11="","",IFERROR((SUMIFS('Past Flips'!$T$8:$T$307,'Past Flips'!$A$8:$A$307,$A11)+SUMIFS('Flip Candidates'!$R$8:$R$207,'Flip Candidates'!$A$8:$A$207,$A11,'Flip Candidates'!$O$8:$O$207,"Likely flip"))/(COUNTIFS('Past Flips'!$A$8:$A$307,$A11,'Past Flips'!$T$8:$T$307,"&lt;&gt;")+COUNTIFS('Flip Candidates'!$A$8:$A$207,$A11,'Flip Candidates'!$O$8:$O$207,"Likely flip")),""))</f>
        <v/>
      </c>
      <c r="L11" s="21" t="str">
        <f aca="false">IF($A11="","",COUNTIF('Listing Watch'!$A$8:$A$307,$A11))</f>
        <v/>
      </c>
      <c r="M11" s="21" t="str">
        <f aca="false">IF($A11="","",IFERROR(AVERAGEIFS('Listing Watch'!$S$8:$S$307,'Listing Watch'!$A$8:$A$307,$A11),""))</f>
        <v/>
      </c>
      <c r="N11" s="23" t="str">
        <f aca="false">IF(OR($A11="",L11=0),"",COUNTIFS('Listing Watch'!$A$8:$A$307,$A11,'Listing Watch'!$R$8:$R$307,"&gt;0")/L11)</f>
        <v/>
      </c>
      <c r="O11" s="21" t="str">
        <f aca="false">IF($A11="","",COUNTIF(Calls!$A$8:$A$307,$A11))</f>
        <v/>
      </c>
      <c r="P11" s="25" t="str">
        <f aca="false">IF($A11="","",IFERROR(AVERAGEIFS(Calls!$K$8:$K$307,Calls!$A$8:$A$307,$A11),""))</f>
        <v/>
      </c>
      <c r="Q11" s="22" t="str">
        <f aca="false">IF($A11="","",IFERROR(AVERAGEIFS(Calls!$G$8:$G$307,Calls!$A$8:$A$307,$A11),""))</f>
        <v/>
      </c>
      <c r="R11" s="22" t="str">
        <f aca="false">IF($A11="","",IFERROR(AVERAGEIFS(Calls!$H$8:$H$307,Calls!$A$8:$A$307,$A11),""))</f>
        <v/>
      </c>
      <c r="S11" s="21" t="str">
        <f aca="false">IF($A11="","",IF(COUNTIF(Competition!$A$8:$A$207,$A11)=0,"",COUNTIF(Competition!$A$8:$A$207,$A11)))</f>
        <v/>
      </c>
      <c r="T11" s="31"/>
      <c r="U11" s="31"/>
      <c r="V11" s="27"/>
      <c r="W11" s="28" t="str">
        <f aca="false">IF($A11="","",IFERROR(ROUND(100*SUMPRODUCT($X$6:$AG$6,X11:AG11)/SUMPRODUCT($X$6:$AG$6,--(X11:AG11&lt;&gt;"")),0),""))</f>
        <v/>
      </c>
      <c r="X11" s="29" t="str">
        <f aca="false">IF(OR($A11="",D11=""),"",IF(COUNT(D$8:D$13)&lt;2,1,(COUNT(D$8:D$13)-RANK(D11,D$8:D$13,0))/(COUNT(D$8:D$13)-1)))</f>
        <v/>
      </c>
      <c r="Y11" s="29" t="str">
        <f aca="false">IF(OR($A11="",E11=""),"",IF(COUNT(E$8:E$13)&lt;2,1,(COUNT(E$8:E$13)-RANK(E11,E$8:E$13,1))/(COUNT(E$8:E$13)-1)))</f>
        <v/>
      </c>
      <c r="Z11" s="29" t="str">
        <f aca="false">IF(OR($A11="",F11=""),"",IF(COUNT(F$8:F$13)&lt;2,1,(COUNT(F$8:F$13)-RANK(F11,F$8:F$13,0))/(COUNT(F$8:F$13)-1)))</f>
        <v/>
      </c>
      <c r="AA11" s="29" t="str">
        <f aca="false">IF(OR($A11="",G11=""),"",IF(COUNT(G$8:G$13)&lt;2,1,(COUNT(G$8:G$13)-RANK(G11,G$8:G$13,0))/(COUNT(G$8:G$13)-1)))</f>
        <v/>
      </c>
      <c r="AB11" s="29" t="str">
        <f aca="false">IF(OR($A11="",J11=""),"",IF(COUNT(J$8:J$13)&lt;2,1,(COUNT(J$8:J$13)-RANK(J11,J$8:J$13,1))/(COUNT(J$8:J$13)-1)))</f>
        <v/>
      </c>
      <c r="AC11" s="29" t="str">
        <f aca="false">IF(OR($A11="",P11=""),"",IF(COUNT(P$8:P$13)&lt;2,1,(COUNT(P$8:P$13)-RANK(P11,P$8:P$13,1))/(COUNT(P$8:P$13)-1)))</f>
        <v/>
      </c>
      <c r="AD11" s="29" t="str">
        <f aca="false">IF(OR($A11="",S11=""),"",IF(COUNT(S$8:S$13)&lt;2,1,(COUNT(S$8:S$13)-RANK(S11,S$8:S$13,1))/(COUNT(S$8:S$13)-1)))</f>
        <v/>
      </c>
      <c r="AE11" s="29" t="str">
        <f aca="false">IF(OR($A11="",T11=""),"",IF(COUNT(T$8:T$13)&lt;2,1,(COUNT(T$8:T$13)-RANK(T11,T$8:T$13,0))/(COUNT(T$8:T$13)-1)))</f>
        <v/>
      </c>
      <c r="AF11" s="29" t="str">
        <f aca="false">IF(OR($A11="",U11=""),"",IF(COUNT(U$8:U$13)&lt;2,1,(COUNT(U$8:U$13)-RANK(U11,U$8:U$13,0))/(COUNT(U$8:U$13)-1)))</f>
        <v/>
      </c>
      <c r="AG11" s="29" t="str">
        <f aca="false">IF(OR($A11="",V11=""),"",IF(COUNT(V$8:V$13)&lt;2,1,(COUNT(V$8:V$13)-RANK(V11,V$8:V$13,0))/(COUNT(V$8:V$13)-1)))</f>
        <v/>
      </c>
    </row>
    <row r="12" customFormat="false" ht="15" hidden="false" customHeight="false" outlineLevel="0" collapsed="false">
      <c r="A12" s="30"/>
      <c r="B12" s="21" t="str">
        <f aca="false">IF($A12="","",COUNTIF(ZIPs!$A$8:$A$107,$A12))</f>
        <v/>
      </c>
      <c r="C12" s="22" t="str">
        <f aca="false">IF($A12="","",IF($B12=0,"",IFERROR(AVERAGEIFS(ZIPs!$D$8:$D$107,ZIPs!$A$8:$A$107,$A12),"")))</f>
        <v/>
      </c>
      <c r="D12" s="21" t="str">
        <f aca="false">IF($A12="","",IF($B12=0,"",SUMIFS(ZIPs!$E$8:$E$107,ZIPs!$A$8:$A$107,$A12)))</f>
        <v/>
      </c>
      <c r="E12" s="21" t="str">
        <f aca="false">IF($A12="","",IF($B12=0,"",IFERROR(AVERAGEIFS(ZIPs!$G$8:$G$107,ZIPs!$A$8:$A$107,$A12),"")))</f>
        <v/>
      </c>
      <c r="F12" s="23" t="str">
        <f aca="false">IF($A12="","",IF($B12=0,"",IFERROR(AVERAGEIFS(ZIPs!$J$8:$J$107,ZIPs!$A$8:$A$107,$A12),"")))</f>
        <v/>
      </c>
      <c r="G12" s="23" t="str">
        <f aca="false">IF($A12="","",IF($B12=0,"",IFERROR(AVERAGEIFS(ZIPs!$S$8:$S$107,ZIPs!$A$8:$A$107,$A12),"")))</f>
        <v/>
      </c>
      <c r="H12" s="23" t="str">
        <f aca="false">IF($A12="","",IF($B12=0,"",IFERROR(AVERAGEIFS(ZIPs!$T$8:$T$107,ZIPs!$A$8:$A$107,$A12),"")))</f>
        <v/>
      </c>
      <c r="I12" s="21" t="str">
        <f aca="false">IF($A12="","",COUNTIF('Past Flips'!$A$8:$A$307,$A12)+COUNTIFS('Flip Candidates'!$A$8:$A$207,$A12,'Flip Candidates'!$O$8:$O$207,"Likely flip"))</f>
        <v/>
      </c>
      <c r="J12" s="24" t="str">
        <f aca="false">IF(OR($A12="",D12="",D12=0),"",I12/(D12*4))</f>
        <v/>
      </c>
      <c r="K12" s="23" t="str">
        <f aca="false">IF($A12="","",IFERROR((SUMIFS('Past Flips'!$T$8:$T$307,'Past Flips'!$A$8:$A$307,$A12)+SUMIFS('Flip Candidates'!$R$8:$R$207,'Flip Candidates'!$A$8:$A$207,$A12,'Flip Candidates'!$O$8:$O$207,"Likely flip"))/(COUNTIFS('Past Flips'!$A$8:$A$307,$A12,'Past Flips'!$T$8:$T$307,"&lt;&gt;")+COUNTIFS('Flip Candidates'!$A$8:$A$207,$A12,'Flip Candidates'!$O$8:$O$207,"Likely flip")),""))</f>
        <v/>
      </c>
      <c r="L12" s="21" t="str">
        <f aca="false">IF($A12="","",COUNTIF('Listing Watch'!$A$8:$A$307,$A12))</f>
        <v/>
      </c>
      <c r="M12" s="21" t="str">
        <f aca="false">IF($A12="","",IFERROR(AVERAGEIFS('Listing Watch'!$S$8:$S$307,'Listing Watch'!$A$8:$A$307,$A12),""))</f>
        <v/>
      </c>
      <c r="N12" s="23" t="str">
        <f aca="false">IF(OR($A12="",L12=0),"",COUNTIFS('Listing Watch'!$A$8:$A$307,$A12,'Listing Watch'!$R$8:$R$307,"&gt;0")/L12)</f>
        <v/>
      </c>
      <c r="O12" s="21" t="str">
        <f aca="false">IF($A12="","",COUNTIF(Calls!$A$8:$A$307,$A12))</f>
        <v/>
      </c>
      <c r="P12" s="25" t="str">
        <f aca="false">IF($A12="","",IFERROR(AVERAGEIFS(Calls!$K$8:$K$307,Calls!$A$8:$A$307,$A12),""))</f>
        <v/>
      </c>
      <c r="Q12" s="22" t="str">
        <f aca="false">IF($A12="","",IFERROR(AVERAGEIFS(Calls!$G$8:$G$307,Calls!$A$8:$A$307,$A12),""))</f>
        <v/>
      </c>
      <c r="R12" s="22" t="str">
        <f aca="false">IF($A12="","",IFERROR(AVERAGEIFS(Calls!$H$8:$H$307,Calls!$A$8:$A$307,$A12),""))</f>
        <v/>
      </c>
      <c r="S12" s="21" t="str">
        <f aca="false">IF($A12="","",IF(COUNTIF(Competition!$A$8:$A$207,$A12)=0,"",COUNTIF(Competition!$A$8:$A$207,$A12)))</f>
        <v/>
      </c>
      <c r="T12" s="31"/>
      <c r="U12" s="31"/>
      <c r="V12" s="27"/>
      <c r="W12" s="28" t="str">
        <f aca="false">IF($A12="","",IFERROR(ROUND(100*SUMPRODUCT($X$6:$AG$6,X12:AG12)/SUMPRODUCT($X$6:$AG$6,--(X12:AG12&lt;&gt;"")),0),""))</f>
        <v/>
      </c>
      <c r="X12" s="29" t="str">
        <f aca="false">IF(OR($A12="",D12=""),"",IF(COUNT(D$8:D$13)&lt;2,1,(COUNT(D$8:D$13)-RANK(D12,D$8:D$13,0))/(COUNT(D$8:D$13)-1)))</f>
        <v/>
      </c>
      <c r="Y12" s="29" t="str">
        <f aca="false">IF(OR($A12="",E12=""),"",IF(COUNT(E$8:E$13)&lt;2,1,(COUNT(E$8:E$13)-RANK(E12,E$8:E$13,1))/(COUNT(E$8:E$13)-1)))</f>
        <v/>
      </c>
      <c r="Z12" s="29" t="str">
        <f aca="false">IF(OR($A12="",F12=""),"",IF(COUNT(F$8:F$13)&lt;2,1,(COUNT(F$8:F$13)-RANK(F12,F$8:F$13,0))/(COUNT(F$8:F$13)-1)))</f>
        <v/>
      </c>
      <c r="AA12" s="29" t="str">
        <f aca="false">IF(OR($A12="",G12=""),"",IF(COUNT(G$8:G$13)&lt;2,1,(COUNT(G$8:G$13)-RANK(G12,G$8:G$13,0))/(COUNT(G$8:G$13)-1)))</f>
        <v/>
      </c>
      <c r="AB12" s="29" t="str">
        <f aca="false">IF(OR($A12="",J12=""),"",IF(COUNT(J$8:J$13)&lt;2,1,(COUNT(J$8:J$13)-RANK(J12,J$8:J$13,1))/(COUNT(J$8:J$13)-1)))</f>
        <v/>
      </c>
      <c r="AC12" s="29" t="str">
        <f aca="false">IF(OR($A12="",P12=""),"",IF(COUNT(P$8:P$13)&lt;2,1,(COUNT(P$8:P$13)-RANK(P12,P$8:P$13,1))/(COUNT(P$8:P$13)-1)))</f>
        <v/>
      </c>
      <c r="AD12" s="29" t="str">
        <f aca="false">IF(OR($A12="",S12=""),"",IF(COUNT(S$8:S$13)&lt;2,1,(COUNT(S$8:S$13)-RANK(S12,S$8:S$13,1))/(COUNT(S$8:S$13)-1)))</f>
        <v/>
      </c>
      <c r="AE12" s="29" t="str">
        <f aca="false">IF(OR($A12="",T12=""),"",IF(COUNT(T$8:T$13)&lt;2,1,(COUNT(T$8:T$13)-RANK(T12,T$8:T$13,0))/(COUNT(T$8:T$13)-1)))</f>
        <v/>
      </c>
      <c r="AF12" s="29" t="str">
        <f aca="false">IF(OR($A12="",U12=""),"",IF(COUNT(U$8:U$13)&lt;2,1,(COUNT(U$8:U$13)-RANK(U12,U$8:U$13,0))/(COUNT(U$8:U$13)-1)))</f>
        <v/>
      </c>
      <c r="AG12" s="29" t="str">
        <f aca="false">IF(OR($A12="",V12=""),"",IF(COUNT(V$8:V$13)&lt;2,1,(COUNT(V$8:V$13)-RANK(V12,V$8:V$13,0))/(COUNT(V$8:V$13)-1)))</f>
        <v/>
      </c>
    </row>
    <row r="13" customFormat="false" ht="15" hidden="false" customHeight="false" outlineLevel="0" collapsed="false">
      <c r="A13" s="30"/>
      <c r="B13" s="21" t="str">
        <f aca="false">IF($A13="","",COUNTIF(ZIPs!$A$8:$A$107,$A13))</f>
        <v/>
      </c>
      <c r="C13" s="22" t="str">
        <f aca="false">IF($A13="","",IF($B13=0,"",IFERROR(AVERAGEIFS(ZIPs!$D$8:$D$107,ZIPs!$A$8:$A$107,$A13),"")))</f>
        <v/>
      </c>
      <c r="D13" s="21" t="str">
        <f aca="false">IF($A13="","",IF($B13=0,"",SUMIFS(ZIPs!$E$8:$E$107,ZIPs!$A$8:$A$107,$A13)))</f>
        <v/>
      </c>
      <c r="E13" s="21" t="str">
        <f aca="false">IF($A13="","",IF($B13=0,"",IFERROR(AVERAGEIFS(ZIPs!$G$8:$G$107,ZIPs!$A$8:$A$107,$A13),"")))</f>
        <v/>
      </c>
      <c r="F13" s="23" t="str">
        <f aca="false">IF($A13="","",IF($B13=0,"",IFERROR(AVERAGEIFS(ZIPs!$J$8:$J$107,ZIPs!$A$8:$A$107,$A13),"")))</f>
        <v/>
      </c>
      <c r="G13" s="23" t="str">
        <f aca="false">IF($A13="","",IF($B13=0,"",IFERROR(AVERAGEIFS(ZIPs!$S$8:$S$107,ZIPs!$A$8:$A$107,$A13),"")))</f>
        <v/>
      </c>
      <c r="H13" s="23" t="str">
        <f aca="false">IF($A13="","",IF($B13=0,"",IFERROR(AVERAGEIFS(ZIPs!$T$8:$T$107,ZIPs!$A$8:$A$107,$A13),"")))</f>
        <v/>
      </c>
      <c r="I13" s="21" t="str">
        <f aca="false">IF($A13="","",COUNTIF('Past Flips'!$A$8:$A$307,$A13)+COUNTIFS('Flip Candidates'!$A$8:$A$207,$A13,'Flip Candidates'!$O$8:$O$207,"Likely flip"))</f>
        <v/>
      </c>
      <c r="J13" s="24" t="str">
        <f aca="false">IF(OR($A13="",D13="",D13=0),"",I13/(D13*4))</f>
        <v/>
      </c>
      <c r="K13" s="23" t="str">
        <f aca="false">IF($A13="","",IFERROR((SUMIFS('Past Flips'!$T$8:$T$307,'Past Flips'!$A$8:$A$307,$A13)+SUMIFS('Flip Candidates'!$R$8:$R$207,'Flip Candidates'!$A$8:$A$207,$A13,'Flip Candidates'!$O$8:$O$207,"Likely flip"))/(COUNTIFS('Past Flips'!$A$8:$A$307,$A13,'Past Flips'!$T$8:$T$307,"&lt;&gt;")+COUNTIFS('Flip Candidates'!$A$8:$A$207,$A13,'Flip Candidates'!$O$8:$O$207,"Likely flip")),""))</f>
        <v/>
      </c>
      <c r="L13" s="21" t="str">
        <f aca="false">IF($A13="","",COUNTIF('Listing Watch'!$A$8:$A$307,$A13))</f>
        <v/>
      </c>
      <c r="M13" s="21" t="str">
        <f aca="false">IF($A13="","",IFERROR(AVERAGEIFS('Listing Watch'!$S$8:$S$307,'Listing Watch'!$A$8:$A$307,$A13),""))</f>
        <v/>
      </c>
      <c r="N13" s="23" t="str">
        <f aca="false">IF(OR($A13="",L13=0),"",COUNTIFS('Listing Watch'!$A$8:$A$307,$A13,'Listing Watch'!$R$8:$R$307,"&gt;0")/L13)</f>
        <v/>
      </c>
      <c r="O13" s="21" t="str">
        <f aca="false">IF($A13="","",COUNTIF(Calls!$A$8:$A$307,$A13))</f>
        <v/>
      </c>
      <c r="P13" s="25" t="str">
        <f aca="false">IF($A13="","",IFERROR(AVERAGEIFS(Calls!$K$8:$K$307,Calls!$A$8:$A$307,$A13),""))</f>
        <v/>
      </c>
      <c r="Q13" s="22" t="str">
        <f aca="false">IF($A13="","",IFERROR(AVERAGEIFS(Calls!$G$8:$G$307,Calls!$A$8:$A$307,$A13),""))</f>
        <v/>
      </c>
      <c r="R13" s="22" t="str">
        <f aca="false">IF($A13="","",IFERROR(AVERAGEIFS(Calls!$H$8:$H$307,Calls!$A$8:$A$307,$A13),""))</f>
        <v/>
      </c>
      <c r="S13" s="21" t="str">
        <f aca="false">IF($A13="","",IF(COUNTIF(Competition!$A$8:$A$207,$A13)=0,"",COUNTIF(Competition!$A$8:$A$207,$A13)))</f>
        <v/>
      </c>
      <c r="T13" s="31"/>
      <c r="U13" s="31"/>
      <c r="V13" s="27"/>
      <c r="W13" s="28" t="str">
        <f aca="false">IF($A13="","",IFERROR(ROUND(100*SUMPRODUCT($X$6:$AG$6,X13:AG13)/SUMPRODUCT($X$6:$AG$6,--(X13:AG13&lt;&gt;"")),0),""))</f>
        <v/>
      </c>
      <c r="X13" s="29" t="str">
        <f aca="false">IF(OR($A13="",D13=""),"",IF(COUNT(D$8:D$13)&lt;2,1,(COUNT(D$8:D$13)-RANK(D13,D$8:D$13,0))/(COUNT(D$8:D$13)-1)))</f>
        <v/>
      </c>
      <c r="Y13" s="29" t="str">
        <f aca="false">IF(OR($A13="",E13=""),"",IF(COUNT(E$8:E$13)&lt;2,1,(COUNT(E$8:E$13)-RANK(E13,E$8:E$13,1))/(COUNT(E$8:E$13)-1)))</f>
        <v/>
      </c>
      <c r="Z13" s="29" t="str">
        <f aca="false">IF(OR($A13="",F13=""),"",IF(COUNT(F$8:F$13)&lt;2,1,(COUNT(F$8:F$13)-RANK(F13,F$8:F$13,0))/(COUNT(F$8:F$13)-1)))</f>
        <v/>
      </c>
      <c r="AA13" s="29" t="str">
        <f aca="false">IF(OR($A13="",G13=""),"",IF(COUNT(G$8:G$13)&lt;2,1,(COUNT(G$8:G$13)-RANK(G13,G$8:G$13,0))/(COUNT(G$8:G$13)-1)))</f>
        <v/>
      </c>
      <c r="AB13" s="29" t="str">
        <f aca="false">IF(OR($A13="",J13=""),"",IF(COUNT(J$8:J$13)&lt;2,1,(COUNT(J$8:J$13)-RANK(J13,J$8:J$13,1))/(COUNT(J$8:J$13)-1)))</f>
        <v/>
      </c>
      <c r="AC13" s="29" t="str">
        <f aca="false">IF(OR($A13="",P13=""),"",IF(COUNT(P$8:P$13)&lt;2,1,(COUNT(P$8:P$13)-RANK(P13,P$8:P$13,1))/(COUNT(P$8:P$13)-1)))</f>
        <v/>
      </c>
      <c r="AD13" s="29" t="str">
        <f aca="false">IF(OR($A13="",S13=""),"",IF(COUNT(S$8:S$13)&lt;2,1,(COUNT(S$8:S$13)-RANK(S13,S$8:S$13,1))/(COUNT(S$8:S$13)-1)))</f>
        <v/>
      </c>
      <c r="AE13" s="29" t="str">
        <f aca="false">IF(OR($A13="",T13=""),"",IF(COUNT(T$8:T$13)&lt;2,1,(COUNT(T$8:T$13)-RANK(T13,T$8:T$13,0))/(COUNT(T$8:T$13)-1)))</f>
        <v/>
      </c>
      <c r="AF13" s="29" t="str">
        <f aca="false">IF(OR($A13="",U13=""),"",IF(COUNT(U$8:U$13)&lt;2,1,(COUNT(U$8:U$13)-RANK(U13,U$8:U$13,0))/(COUNT(U$8:U$13)-1)))</f>
        <v/>
      </c>
      <c r="AG13" s="29" t="str">
        <f aca="false">IF(OR($A13="",V13=""),"",IF(COUNT(V$8:V$13)&lt;2,1,(COUNT(V$8:V$13)-RANK(V13,V$8:V$13,0))/(COUNT(V$8:V$13)-1)))</f>
        <v/>
      </c>
    </row>
    <row r="16" customFormat="false" ht="15" hidden="false" customHeight="false" outlineLevel="0" collapsed="false">
      <c r="A16" s="3" t="s">
        <v>127</v>
      </c>
    </row>
    <row r="17" customFormat="false" ht="42" hidden="false" customHeight="true" outlineLevel="0" collapsed="false">
      <c r="A17" s="19" t="s">
        <v>128</v>
      </c>
      <c r="B17" s="19" t="s">
        <v>129</v>
      </c>
      <c r="C17" s="19" t="s">
        <v>130</v>
      </c>
      <c r="D17" s="19" t="s">
        <v>131</v>
      </c>
      <c r="E17" s="19" t="s">
        <v>132</v>
      </c>
      <c r="F17" s="19" t="s">
        <v>133</v>
      </c>
      <c r="G17" s="19" t="s">
        <v>134</v>
      </c>
      <c r="H17" s="19" t="s">
        <v>135</v>
      </c>
      <c r="I17" s="19" t="s">
        <v>136</v>
      </c>
    </row>
    <row r="18" customFormat="false" ht="15" hidden="false" customHeight="false" outlineLevel="0" collapsed="false">
      <c r="A18" s="6" t="str">
        <f aca="false">IF($A$8="","",$A$8)</f>
        <v>Sampleville, OH</v>
      </c>
      <c r="B18" s="32"/>
      <c r="C18" s="33" t="str">
        <f aca="false">IF($A18="","",IF(COUNTIF(Calls!$A$8:$A$307,$A18)&gt;=10,"Yes","No ("&amp;COUNTIF(Calls!$A$8:$A$307,$A18)&amp;"/10)"))</f>
        <v>No (1/10)</v>
      </c>
      <c r="D18" s="33" t="str">
        <f aca="false">IF($A18="","",IF(COUNTIFS(Calls!$A$8:$A$307,$A18,Calls!$D$8:$D$307,"Agent")&gt;=3,"Yes","No ("&amp;COUNTIFS(Calls!$A$8:$A$307,$A18,Calls!$D$8:$D$307,"Agent")&amp;"/3)"))</f>
        <v>No (1/3)</v>
      </c>
      <c r="E18" s="32"/>
      <c r="F18" s="33" t="str">
        <f aca="false">IF($A18="","",IF(COUNTIF('Paper Flips'!$B$8:$B$307,$A18)&gt;=10,"Yes","No ("&amp;COUNTIF('Paper Flips'!$B$8:$B$307,$A18)&amp;"/10)"))</f>
        <v>No (1/10)</v>
      </c>
      <c r="G18" s="33" t="str">
        <f aca="false">IF($A18="","",IF(COUNTIFS('Paper Flips'!$B$8:$B$307,$A18,'Paper Flips'!$O$8:$O$307,"&lt;&gt;")=0,"No data yet",IF(AVERAGEIFS('Paper Flips'!$O$8:$O$307,'Paper Flips'!$B$8:$B$307,$A18)&lt;=0.1,"Yes","No ("&amp;TEXT(AVERAGEIFS('Paper Flips'!$O$8:$O$307,'Paper Flips'!$B$8:$B$307,$A18),"0%")&amp;")")))</f>
        <v>Yes</v>
      </c>
      <c r="H18" s="32"/>
      <c r="I18" s="34" t="str">
        <f aca="false">IF($A18="","",IF(AND(UPPER(B18)="Y",C18="Yes",D18="Yes",UPPER(E18)="Y",F18="Yes",G18="Yes",UPPER(H18)="Y"),"READY","Not yet"))</f>
        <v>Not yet</v>
      </c>
    </row>
    <row r="19" customFormat="false" ht="15" hidden="false" customHeight="false" outlineLevel="0" collapsed="false">
      <c r="A19" s="6" t="str">
        <f aca="false">IF($A$9="","",$A$9)</f>
        <v/>
      </c>
      <c r="B19" s="32"/>
      <c r="C19" s="33" t="str">
        <f aca="false">IF($A19="","",IF(COUNTIF(Calls!$A$8:$A$307,$A19)&gt;=10,"Yes","No ("&amp;COUNTIF(Calls!$A$8:$A$307,$A19)&amp;"/10)"))</f>
        <v/>
      </c>
      <c r="D19" s="33" t="str">
        <f aca="false">IF($A19="","",IF(COUNTIFS(Calls!$A$8:$A$307,$A19,Calls!$D$8:$D$307,"Agent")&gt;=3,"Yes","No ("&amp;COUNTIFS(Calls!$A$8:$A$307,$A19,Calls!$D$8:$D$307,"Agent")&amp;"/3)"))</f>
        <v/>
      </c>
      <c r="E19" s="32"/>
      <c r="F19" s="33" t="str">
        <f aca="false">IF($A19="","",IF(COUNTIF('Paper Flips'!$B$8:$B$307,$A19)&gt;=10,"Yes","No ("&amp;COUNTIF('Paper Flips'!$B$8:$B$307,$A19)&amp;"/10)"))</f>
        <v/>
      </c>
      <c r="G19" s="33" t="str">
        <f aca="false">IF($A19="","",IF(COUNTIFS('Paper Flips'!$B$8:$B$307,$A19,'Paper Flips'!$O$8:$O$307,"&lt;&gt;")=0,"No data yet",IF(AVERAGEIFS('Paper Flips'!$O$8:$O$307,'Paper Flips'!$B$8:$B$307,$A19)&lt;=0.1,"Yes","No ("&amp;TEXT(AVERAGEIFS('Paper Flips'!$O$8:$O$307,'Paper Flips'!$B$8:$B$307,$A19),"0%")&amp;")")))</f>
        <v/>
      </c>
      <c r="H19" s="32"/>
      <c r="I19" s="34" t="str">
        <f aca="false">IF($A19="","",IF(AND(UPPER(B19)="Y",C19="Yes",D19="Yes",UPPER(E19)="Y",F19="Yes",G19="Yes",UPPER(H19)="Y"),"READY","Not yet"))</f>
        <v/>
      </c>
    </row>
    <row r="20" customFormat="false" ht="15" hidden="false" customHeight="false" outlineLevel="0" collapsed="false">
      <c r="A20" s="6" t="str">
        <f aca="false">IF($A$10="","",$A$10)</f>
        <v/>
      </c>
      <c r="B20" s="32"/>
      <c r="C20" s="33" t="str">
        <f aca="false">IF($A20="","",IF(COUNTIF(Calls!$A$8:$A$307,$A20)&gt;=10,"Yes","No ("&amp;COUNTIF(Calls!$A$8:$A$307,$A20)&amp;"/10)"))</f>
        <v/>
      </c>
      <c r="D20" s="33" t="str">
        <f aca="false">IF($A20="","",IF(COUNTIFS(Calls!$A$8:$A$307,$A20,Calls!$D$8:$D$307,"Agent")&gt;=3,"Yes","No ("&amp;COUNTIFS(Calls!$A$8:$A$307,$A20,Calls!$D$8:$D$307,"Agent")&amp;"/3)"))</f>
        <v/>
      </c>
      <c r="E20" s="32"/>
      <c r="F20" s="33" t="str">
        <f aca="false">IF($A20="","",IF(COUNTIF('Paper Flips'!$B$8:$B$307,$A20)&gt;=10,"Yes","No ("&amp;COUNTIF('Paper Flips'!$B$8:$B$307,$A20)&amp;"/10)"))</f>
        <v/>
      </c>
      <c r="G20" s="33" t="str">
        <f aca="false">IF($A20="","",IF(COUNTIFS('Paper Flips'!$B$8:$B$307,$A20,'Paper Flips'!$O$8:$O$307,"&lt;&gt;")=0,"No data yet",IF(AVERAGEIFS('Paper Flips'!$O$8:$O$307,'Paper Flips'!$B$8:$B$307,$A20)&lt;=0.1,"Yes","No ("&amp;TEXT(AVERAGEIFS('Paper Flips'!$O$8:$O$307,'Paper Flips'!$B$8:$B$307,$A20),"0%")&amp;")")))</f>
        <v/>
      </c>
      <c r="H20" s="32"/>
      <c r="I20" s="34" t="str">
        <f aca="false">IF($A20="","",IF(AND(UPPER(B20)="Y",C20="Yes",D20="Yes",UPPER(E20)="Y",F20="Yes",G20="Yes",UPPER(H20)="Y"),"READY","Not yet"))</f>
        <v/>
      </c>
    </row>
    <row r="21" customFormat="false" ht="15" hidden="false" customHeight="false" outlineLevel="0" collapsed="false">
      <c r="A21" s="6" t="str">
        <f aca="false">IF($A$11="","",$A$11)</f>
        <v/>
      </c>
      <c r="B21" s="32"/>
      <c r="C21" s="33" t="str">
        <f aca="false">IF($A21="","",IF(COUNTIF(Calls!$A$8:$A$307,$A21)&gt;=10,"Yes","No ("&amp;COUNTIF(Calls!$A$8:$A$307,$A21)&amp;"/10)"))</f>
        <v/>
      </c>
      <c r="D21" s="33" t="str">
        <f aca="false">IF($A21="","",IF(COUNTIFS(Calls!$A$8:$A$307,$A21,Calls!$D$8:$D$307,"Agent")&gt;=3,"Yes","No ("&amp;COUNTIFS(Calls!$A$8:$A$307,$A21,Calls!$D$8:$D$307,"Agent")&amp;"/3)"))</f>
        <v/>
      </c>
      <c r="E21" s="32"/>
      <c r="F21" s="33" t="str">
        <f aca="false">IF($A21="","",IF(COUNTIF('Paper Flips'!$B$8:$B$307,$A21)&gt;=10,"Yes","No ("&amp;COUNTIF('Paper Flips'!$B$8:$B$307,$A21)&amp;"/10)"))</f>
        <v/>
      </c>
      <c r="G21" s="33" t="str">
        <f aca="false">IF($A21="","",IF(COUNTIFS('Paper Flips'!$B$8:$B$307,$A21,'Paper Flips'!$O$8:$O$307,"&lt;&gt;")=0,"No data yet",IF(AVERAGEIFS('Paper Flips'!$O$8:$O$307,'Paper Flips'!$B$8:$B$307,$A21)&lt;=0.1,"Yes","No ("&amp;TEXT(AVERAGEIFS('Paper Flips'!$O$8:$O$307,'Paper Flips'!$B$8:$B$307,$A21),"0%")&amp;")")))</f>
        <v/>
      </c>
      <c r="H21" s="32"/>
      <c r="I21" s="34" t="str">
        <f aca="false">IF($A21="","",IF(AND(UPPER(B21)="Y",C21="Yes",D21="Yes",UPPER(E21)="Y",F21="Yes",G21="Yes",UPPER(H21)="Y"),"READY","Not yet"))</f>
        <v/>
      </c>
    </row>
    <row r="22" customFormat="false" ht="15" hidden="false" customHeight="false" outlineLevel="0" collapsed="false">
      <c r="A22" s="6" t="str">
        <f aca="false">IF($A$12="","",$A$12)</f>
        <v/>
      </c>
      <c r="B22" s="32"/>
      <c r="C22" s="33" t="str">
        <f aca="false">IF($A22="","",IF(COUNTIF(Calls!$A$8:$A$307,$A22)&gt;=10,"Yes","No ("&amp;COUNTIF(Calls!$A$8:$A$307,$A22)&amp;"/10)"))</f>
        <v/>
      </c>
      <c r="D22" s="33" t="str">
        <f aca="false">IF($A22="","",IF(COUNTIFS(Calls!$A$8:$A$307,$A22,Calls!$D$8:$D$307,"Agent")&gt;=3,"Yes","No ("&amp;COUNTIFS(Calls!$A$8:$A$307,$A22,Calls!$D$8:$D$307,"Agent")&amp;"/3)"))</f>
        <v/>
      </c>
      <c r="E22" s="32"/>
      <c r="F22" s="33" t="str">
        <f aca="false">IF($A22="","",IF(COUNTIF('Paper Flips'!$B$8:$B$307,$A22)&gt;=10,"Yes","No ("&amp;COUNTIF('Paper Flips'!$B$8:$B$307,$A22)&amp;"/10)"))</f>
        <v/>
      </c>
      <c r="G22" s="33" t="str">
        <f aca="false">IF($A22="","",IF(COUNTIFS('Paper Flips'!$B$8:$B$307,$A22,'Paper Flips'!$O$8:$O$307,"&lt;&gt;")=0,"No data yet",IF(AVERAGEIFS('Paper Flips'!$O$8:$O$307,'Paper Flips'!$B$8:$B$307,$A22)&lt;=0.1,"Yes","No ("&amp;TEXT(AVERAGEIFS('Paper Flips'!$O$8:$O$307,'Paper Flips'!$B$8:$B$307,$A22),"0%")&amp;")")))</f>
        <v/>
      </c>
      <c r="H22" s="32"/>
      <c r="I22" s="34" t="str">
        <f aca="false">IF($A22="","",IF(AND(UPPER(B22)="Y",C22="Yes",D22="Yes",UPPER(E22)="Y",F22="Yes",G22="Yes",UPPER(H22)="Y"),"READY","Not yet"))</f>
        <v/>
      </c>
    </row>
    <row r="23" customFormat="false" ht="15" hidden="false" customHeight="false" outlineLevel="0" collapsed="false">
      <c r="A23" s="6" t="str">
        <f aca="false">IF($A$13="","",$A$13)</f>
        <v/>
      </c>
      <c r="B23" s="32"/>
      <c r="C23" s="33" t="str">
        <f aca="false">IF($A23="","",IF(COUNTIF(Calls!$A$8:$A$307,$A23)&gt;=10,"Yes","No ("&amp;COUNTIF(Calls!$A$8:$A$307,$A23)&amp;"/10)"))</f>
        <v/>
      </c>
      <c r="D23" s="33" t="str">
        <f aca="false">IF($A23="","",IF(COUNTIFS(Calls!$A$8:$A$307,$A23,Calls!$D$8:$D$307,"Agent")&gt;=3,"Yes","No ("&amp;COUNTIFS(Calls!$A$8:$A$307,$A23,Calls!$D$8:$D$307,"Agent")&amp;"/3)"))</f>
        <v/>
      </c>
      <c r="E23" s="32"/>
      <c r="F23" s="33" t="str">
        <f aca="false">IF($A23="","",IF(COUNTIF('Paper Flips'!$B$8:$B$307,$A23)&gt;=10,"Yes","No ("&amp;COUNTIF('Paper Flips'!$B$8:$B$307,$A23)&amp;"/10)"))</f>
        <v/>
      </c>
      <c r="G23" s="33" t="str">
        <f aca="false">IF($A23="","",IF(COUNTIFS('Paper Flips'!$B$8:$B$307,$A23,'Paper Flips'!$O$8:$O$307,"&lt;&gt;")=0,"No data yet",IF(AVERAGEIFS('Paper Flips'!$O$8:$O$307,'Paper Flips'!$B$8:$B$307,$A23)&lt;=0.1,"Yes","No ("&amp;TEXT(AVERAGEIFS('Paper Flips'!$O$8:$O$307,'Paper Flips'!$B$8:$B$307,$A23),"0%")&amp;")")))</f>
        <v/>
      </c>
      <c r="H23" s="32"/>
      <c r="I23" s="34" t="str">
        <f aca="false">IF($A23="","",IF(AND(UPPER(B23)="Y",C23="Yes",D23="Yes",UPPER(E23)="Y",F23="Yes",G23="Yes",UPPER(H23)="Y"),"READY","Not yet"))</f>
        <v/>
      </c>
    </row>
    <row r="25" customFormat="false" ht="15" hidden="false" customHeight="false" outlineLevel="0" collapsed="false">
      <c r="A25" s="2" t="s">
        <v>137</v>
      </c>
    </row>
  </sheetData>
  <mergeCells count="5">
    <mergeCell ref="B6:H6"/>
    <mergeCell ref="I6:K6"/>
    <mergeCell ref="L6:N6"/>
    <mergeCell ref="O6:R6"/>
    <mergeCell ref="T6:V6"/>
  </mergeCells>
  <conditionalFormatting sqref="W8:W13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I18:I23">
    <cfRule type="cellIs" priority="3" operator="equal" aboveAverage="0" equalAverage="0" bottom="0" percent="0" rank="0" text="" dxfId="0">
      <formula>"READY"</formula>
    </cfRule>
    <cfRule type="cellIs" priority="4" operator="equal" aboveAverage="0" equalAverage="0" bottom="0" percent="0" rank="0" text="" dxfId="1">
      <formula>"Not yet"</formula>
    </cfRule>
  </conditionalFormatting>
  <dataValidations count="2">
    <dataValidation allowBlank="true" errorStyle="stop" operator="between" showDropDown="false" showErrorMessage="false" showInputMessage="false" sqref="V8:V13" type="whole">
      <formula1>1</formula1>
      <formula2>5</formula2>
    </dataValidation>
    <dataValidation allowBlank="true" errorStyle="stop" operator="between" showDropDown="false" showErrorMessage="false" showInputMessage="false" sqref="B18:B23 E18:E23 H18:H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Z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12"/>
    <col collapsed="false" customWidth="true" hidden="false" outlineLevel="0" max="16" min="15" style="0" width="11"/>
    <col collapsed="false" customWidth="true" hidden="false" outlineLevel="0" max="17" min="17" style="0" width="24"/>
    <col collapsed="false" customWidth="true" hidden="false" outlineLevel="0" max="19" min="18" style="0" width="8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9"/>
    <col collapsed="false" customWidth="true" hidden="false" outlineLevel="0" max="26" min="25" style="0" width="10"/>
  </cols>
  <sheetData>
    <row r="1" customFormat="false" ht="21.75" hidden="false" customHeight="true" outlineLevel="0" collapsed="false">
      <c r="A1" s="15" t="s">
        <v>138</v>
      </c>
    </row>
    <row r="2" customFormat="false" ht="15" hidden="false" customHeight="false" outlineLevel="0" collapsed="false">
      <c r="A2" s="2" t="s">
        <v>139</v>
      </c>
    </row>
    <row r="6" customFormat="false" ht="15" hidden="false" customHeight="false" outlineLevel="0" collapsed="false">
      <c r="A6" s="17" t="s">
        <v>140</v>
      </c>
      <c r="B6" s="17"/>
      <c r="C6" s="17"/>
      <c r="D6" s="17" t="s">
        <v>141</v>
      </c>
      <c r="E6" s="17"/>
      <c r="F6" s="17"/>
      <c r="G6" s="17"/>
      <c r="H6" s="17"/>
      <c r="I6" s="17"/>
      <c r="J6" s="17"/>
      <c r="K6" s="17" t="s">
        <v>142</v>
      </c>
      <c r="L6" s="17" t="s">
        <v>143</v>
      </c>
      <c r="M6" s="17"/>
      <c r="N6" s="17"/>
      <c r="O6" s="17"/>
      <c r="P6" s="17" t="s">
        <v>144</v>
      </c>
      <c r="Q6" s="17"/>
      <c r="R6" s="17" t="s">
        <v>145</v>
      </c>
      <c r="S6" s="17"/>
      <c r="T6" s="17"/>
      <c r="U6" s="17"/>
      <c r="V6" s="17"/>
      <c r="W6" s="17"/>
      <c r="X6" s="17" t="s">
        <v>146</v>
      </c>
      <c r="Y6" s="17"/>
      <c r="Z6" s="17"/>
    </row>
    <row r="7" customFormat="false" ht="42" hidden="false" customHeight="true" outlineLevel="0" collapsed="false">
      <c r="A7" s="19" t="s">
        <v>128</v>
      </c>
      <c r="B7" s="19" t="s">
        <v>147</v>
      </c>
      <c r="C7" s="19" t="s">
        <v>148</v>
      </c>
      <c r="D7" s="19" t="s">
        <v>149</v>
      </c>
      <c r="E7" s="19" t="s">
        <v>150</v>
      </c>
      <c r="F7" s="19" t="s">
        <v>151</v>
      </c>
      <c r="G7" s="19" t="s">
        <v>152</v>
      </c>
      <c r="H7" s="19" t="s">
        <v>153</v>
      </c>
      <c r="I7" s="19" t="s">
        <v>154</v>
      </c>
      <c r="J7" s="19" t="s">
        <v>155</v>
      </c>
      <c r="K7" s="19" t="s">
        <v>156</v>
      </c>
      <c r="L7" s="19" t="s">
        <v>48</v>
      </c>
      <c r="M7" s="19" t="s">
        <v>157</v>
      </c>
      <c r="N7" s="19" t="s">
        <v>158</v>
      </c>
      <c r="O7" s="19" t="s">
        <v>159</v>
      </c>
      <c r="P7" s="19" t="s">
        <v>160</v>
      </c>
      <c r="Q7" s="19" t="s">
        <v>161</v>
      </c>
      <c r="R7" s="19" t="s">
        <v>162</v>
      </c>
      <c r="S7" s="19" t="s">
        <v>163</v>
      </c>
      <c r="T7" s="19" t="s">
        <v>164</v>
      </c>
      <c r="U7" s="19" t="s">
        <v>102</v>
      </c>
      <c r="V7" s="19" t="s">
        <v>103</v>
      </c>
      <c r="W7" s="19" t="s">
        <v>105</v>
      </c>
      <c r="X7" s="19" t="s">
        <v>165</v>
      </c>
      <c r="Y7" s="19" t="s">
        <v>166</v>
      </c>
      <c r="Z7" s="19" t="s">
        <v>167</v>
      </c>
    </row>
    <row r="8" customFormat="false" ht="15" hidden="false" customHeight="false" outlineLevel="0" collapsed="false">
      <c r="A8" s="20" t="s">
        <v>126</v>
      </c>
      <c r="B8" s="20" t="s">
        <v>168</v>
      </c>
      <c r="C8" s="20" t="s">
        <v>169</v>
      </c>
      <c r="D8" s="35" t="n">
        <v>185000</v>
      </c>
      <c r="E8" s="36" t="n">
        <v>42</v>
      </c>
      <c r="F8" s="36" t="n">
        <v>38</v>
      </c>
      <c r="G8" s="36" t="n">
        <v>34</v>
      </c>
      <c r="H8" s="26" t="n">
        <v>0.975</v>
      </c>
      <c r="I8" s="26" t="n">
        <v>0.22</v>
      </c>
      <c r="J8" s="26" t="n">
        <v>0.041</v>
      </c>
      <c r="K8" s="35" t="n">
        <v>1450</v>
      </c>
      <c r="L8" s="37" t="n">
        <v>1958</v>
      </c>
      <c r="M8" s="36" t="n">
        <v>2410</v>
      </c>
      <c r="N8" s="36" t="n">
        <v>520</v>
      </c>
      <c r="O8" s="35" t="n">
        <v>61500</v>
      </c>
      <c r="P8" s="38" t="n">
        <v>46310</v>
      </c>
      <c r="Q8" s="20" t="s">
        <v>170</v>
      </c>
      <c r="R8" s="39" t="n">
        <f aca="false">IF(OR(E8="",F8="",E8=0),"",F8/(E8/3))</f>
        <v>2.71428571428571</v>
      </c>
      <c r="S8" s="24" t="n">
        <f aca="false">IF(OR(D8="",K8="",D8=0),"",K8*12/D8)</f>
        <v>0.0940540540540541</v>
      </c>
      <c r="T8" s="24" t="n">
        <f aca="false">IF(OR(M8="",N8=""),"",IF(M8+N8=0,"",N8/(M8+N8)))</f>
        <v>0.177474402730375</v>
      </c>
      <c r="U8" s="21" t="n">
        <f aca="false">IF(B8="","",COUNTIF('Past Flips'!$B$8:$B$307,B8)+COUNTIFS('Flip Candidates'!$B$8:$B$207,B8,'Flip Candidates'!$O$8:$O$207,"Likely flip"))</f>
        <v>2</v>
      </c>
      <c r="V8" s="24" t="n">
        <f aca="false">IF(OR(U8="",E8="",E8=0),"",U8/(E8*4))</f>
        <v>0.0119047619047619</v>
      </c>
      <c r="W8" s="21" t="n">
        <f aca="false">IF(B8="","",COUNTIF('Listing Watch'!$B$8:$B$307,B8))</f>
        <v>1</v>
      </c>
      <c r="X8" s="40" t="str">
        <f aca="false">IF(B8="","",HYPERLINK("https://www.redfin.com/zipcode/"&amp;B8&amp;"/housing-market","Redfin"))</f>
        <v>Redfin</v>
      </c>
      <c r="Y8" s="40" t="str">
        <f aca="false">IF(B8="","",HYPERLINK("https://data.census.gov/table/ACSDT5Y2024.B25032?g=860XX00US"&amp;B8,"B25032"))</f>
        <v>B25032</v>
      </c>
      <c r="Z8" s="40" t="str">
        <f aca="false">IF(B8="","",HYPERLINK("https://censusreporter.org/profiles/86000US"&amp;B8&amp;"-"&amp;B8&amp;"/","Profile"))</f>
        <v>Profile</v>
      </c>
    </row>
    <row r="9" customFormat="false" ht="15" hidden="false" customHeight="false" outlineLevel="0" collapsed="false">
      <c r="A9" s="30"/>
      <c r="B9" s="30"/>
      <c r="C9" s="30"/>
      <c r="D9" s="41"/>
      <c r="E9" s="27"/>
      <c r="F9" s="27"/>
      <c r="G9" s="27"/>
      <c r="H9" s="31"/>
      <c r="I9" s="31"/>
      <c r="J9" s="31"/>
      <c r="K9" s="41"/>
      <c r="L9" s="42"/>
      <c r="M9" s="27"/>
      <c r="N9" s="27"/>
      <c r="O9" s="41"/>
      <c r="P9" s="43"/>
      <c r="Q9" s="30"/>
      <c r="R9" s="39" t="str">
        <f aca="false">IF(OR(E9="",F9="",E9=0),"",F9/(E9/3))</f>
        <v/>
      </c>
      <c r="S9" s="24" t="str">
        <f aca="false">IF(OR(D9="",K9="",D9=0),"",K9*12/D9)</f>
        <v/>
      </c>
      <c r="T9" s="24" t="str">
        <f aca="false">IF(OR(M9="",N9=""),"",IF(M9+N9=0,"",N9/(M9+N9)))</f>
        <v/>
      </c>
      <c r="U9" s="21" t="str">
        <f aca="false">IF(B9="","",COUNTIF('Past Flips'!$B$8:$B$307,B9)+COUNTIFS('Flip Candidates'!$B$8:$B$207,B9,'Flip Candidates'!$O$8:$O$207,"Likely flip"))</f>
        <v/>
      </c>
      <c r="V9" s="24" t="str">
        <f aca="false">IF(OR(U9="",E9="",E9=0),"",U9/(E9*4))</f>
        <v/>
      </c>
      <c r="W9" s="21" t="str">
        <f aca="false">IF(B9="","",COUNTIF('Listing Watch'!$B$8:$B$307,B9))</f>
        <v/>
      </c>
      <c r="X9" s="40" t="str">
        <f aca="false">IF(B9="","",HYPERLINK("https://www.redfin.com/zipcode/"&amp;B9&amp;"/housing-market","Redfin"))</f>
        <v/>
      </c>
      <c r="Y9" s="40" t="str">
        <f aca="false">IF(B9="","",HYPERLINK("https://data.census.gov/table/ACSDT5Y2024.B25032?g=860XX00US"&amp;B9,"B25032"))</f>
        <v/>
      </c>
      <c r="Z9" s="40" t="str">
        <f aca="false">IF(B9="","",HYPERLINK("https://censusreporter.org/profiles/86000US"&amp;B9&amp;"-"&amp;B9&amp;"/","Profile"))</f>
        <v/>
      </c>
    </row>
    <row r="10" customFormat="false" ht="15" hidden="false" customHeight="false" outlineLevel="0" collapsed="false">
      <c r="A10" s="30"/>
      <c r="B10" s="30"/>
      <c r="C10" s="30"/>
      <c r="D10" s="41"/>
      <c r="E10" s="27"/>
      <c r="F10" s="27"/>
      <c r="G10" s="27"/>
      <c r="H10" s="31"/>
      <c r="I10" s="31"/>
      <c r="J10" s="31"/>
      <c r="K10" s="41"/>
      <c r="L10" s="42"/>
      <c r="M10" s="27"/>
      <c r="N10" s="27"/>
      <c r="O10" s="41"/>
      <c r="P10" s="43"/>
      <c r="Q10" s="30"/>
      <c r="R10" s="39" t="str">
        <f aca="false">IF(OR(E10="",F10="",E10=0),"",F10/(E10/3))</f>
        <v/>
      </c>
      <c r="S10" s="24" t="str">
        <f aca="false">IF(OR(D10="",K10="",D10=0),"",K10*12/D10)</f>
        <v/>
      </c>
      <c r="T10" s="24" t="str">
        <f aca="false">IF(OR(M10="",N10=""),"",IF(M10+N10=0,"",N10/(M10+N10)))</f>
        <v/>
      </c>
      <c r="U10" s="21" t="str">
        <f aca="false">IF(B10="","",COUNTIF('Past Flips'!$B$8:$B$307,B10)+COUNTIFS('Flip Candidates'!$B$8:$B$207,B10,'Flip Candidates'!$O$8:$O$207,"Likely flip"))</f>
        <v/>
      </c>
      <c r="V10" s="24" t="str">
        <f aca="false">IF(OR(U10="",E10="",E10=0),"",U10/(E10*4))</f>
        <v/>
      </c>
      <c r="W10" s="21" t="str">
        <f aca="false">IF(B10="","",COUNTIF('Listing Watch'!$B$8:$B$307,B10))</f>
        <v/>
      </c>
      <c r="X10" s="40" t="str">
        <f aca="false">IF(B10="","",HYPERLINK("https://www.redfin.com/zipcode/"&amp;B10&amp;"/housing-market","Redfin"))</f>
        <v/>
      </c>
      <c r="Y10" s="40" t="str">
        <f aca="false">IF(B10="","",HYPERLINK("https://data.census.gov/table/ACSDT5Y2024.B25032?g=860XX00US"&amp;B10,"B25032"))</f>
        <v/>
      </c>
      <c r="Z10" s="40" t="str">
        <f aca="false">IF(B10="","",HYPERLINK("https://censusreporter.org/profiles/86000US"&amp;B10&amp;"-"&amp;B10&amp;"/","Profile"))</f>
        <v/>
      </c>
    </row>
    <row r="11" customFormat="false" ht="15" hidden="false" customHeight="false" outlineLevel="0" collapsed="false">
      <c r="A11" s="30"/>
      <c r="B11" s="30"/>
      <c r="C11" s="30"/>
      <c r="D11" s="41"/>
      <c r="E11" s="27"/>
      <c r="F11" s="27"/>
      <c r="G11" s="27"/>
      <c r="H11" s="31"/>
      <c r="I11" s="31"/>
      <c r="J11" s="31"/>
      <c r="K11" s="41"/>
      <c r="L11" s="42"/>
      <c r="M11" s="27"/>
      <c r="N11" s="27"/>
      <c r="O11" s="41"/>
      <c r="P11" s="43"/>
      <c r="Q11" s="30"/>
      <c r="R11" s="39" t="str">
        <f aca="false">IF(OR(E11="",F11="",E11=0),"",F11/(E11/3))</f>
        <v/>
      </c>
      <c r="S11" s="24" t="str">
        <f aca="false">IF(OR(D11="",K11="",D11=0),"",K11*12/D11)</f>
        <v/>
      </c>
      <c r="T11" s="24" t="str">
        <f aca="false">IF(OR(M11="",N11=""),"",IF(M11+N11=0,"",N11/(M11+N11)))</f>
        <v/>
      </c>
      <c r="U11" s="21" t="str">
        <f aca="false">IF(B11="","",COUNTIF('Past Flips'!$B$8:$B$307,B11)+COUNTIFS('Flip Candidates'!$B$8:$B$207,B11,'Flip Candidates'!$O$8:$O$207,"Likely flip"))</f>
        <v/>
      </c>
      <c r="V11" s="24" t="str">
        <f aca="false">IF(OR(U11="",E11="",E11=0),"",U11/(E11*4))</f>
        <v/>
      </c>
      <c r="W11" s="21" t="str">
        <f aca="false">IF(B11="","",COUNTIF('Listing Watch'!$B$8:$B$307,B11))</f>
        <v/>
      </c>
      <c r="X11" s="40" t="str">
        <f aca="false">IF(B11="","",HYPERLINK("https://www.redfin.com/zipcode/"&amp;B11&amp;"/housing-market","Redfin"))</f>
        <v/>
      </c>
      <c r="Y11" s="40" t="str">
        <f aca="false">IF(B11="","",HYPERLINK("https://data.census.gov/table/ACSDT5Y2024.B25032?g=860XX00US"&amp;B11,"B25032"))</f>
        <v/>
      </c>
      <c r="Z11" s="40" t="str">
        <f aca="false">IF(B11="","",HYPERLINK("https://censusreporter.org/profiles/86000US"&amp;B11&amp;"-"&amp;B11&amp;"/","Profile"))</f>
        <v/>
      </c>
    </row>
    <row r="12" customFormat="false" ht="15" hidden="false" customHeight="false" outlineLevel="0" collapsed="false">
      <c r="A12" s="30"/>
      <c r="B12" s="30"/>
      <c r="C12" s="30"/>
      <c r="D12" s="41"/>
      <c r="E12" s="27"/>
      <c r="F12" s="27"/>
      <c r="G12" s="27"/>
      <c r="H12" s="31"/>
      <c r="I12" s="31"/>
      <c r="J12" s="31"/>
      <c r="K12" s="41"/>
      <c r="L12" s="42"/>
      <c r="M12" s="27"/>
      <c r="N12" s="27"/>
      <c r="O12" s="41"/>
      <c r="P12" s="43"/>
      <c r="Q12" s="30"/>
      <c r="R12" s="39" t="str">
        <f aca="false">IF(OR(E12="",F12="",E12=0),"",F12/(E12/3))</f>
        <v/>
      </c>
      <c r="S12" s="24" t="str">
        <f aca="false">IF(OR(D12="",K12="",D12=0),"",K12*12/D12)</f>
        <v/>
      </c>
      <c r="T12" s="24" t="str">
        <f aca="false">IF(OR(M12="",N12=""),"",IF(M12+N12=0,"",N12/(M12+N12)))</f>
        <v/>
      </c>
      <c r="U12" s="21" t="str">
        <f aca="false">IF(B12="","",COUNTIF('Past Flips'!$B$8:$B$307,B12)+COUNTIFS('Flip Candidates'!$B$8:$B$207,B12,'Flip Candidates'!$O$8:$O$207,"Likely flip"))</f>
        <v/>
      </c>
      <c r="V12" s="24" t="str">
        <f aca="false">IF(OR(U12="",E12="",E12=0),"",U12/(E12*4))</f>
        <v/>
      </c>
      <c r="W12" s="21" t="str">
        <f aca="false">IF(B12="","",COUNTIF('Listing Watch'!$B$8:$B$307,B12))</f>
        <v/>
      </c>
      <c r="X12" s="40" t="str">
        <f aca="false">IF(B12="","",HYPERLINK("https://www.redfin.com/zipcode/"&amp;B12&amp;"/housing-market","Redfin"))</f>
        <v/>
      </c>
      <c r="Y12" s="40" t="str">
        <f aca="false">IF(B12="","",HYPERLINK("https://data.census.gov/table/ACSDT5Y2024.B25032?g=860XX00US"&amp;B12,"B25032"))</f>
        <v/>
      </c>
      <c r="Z12" s="40" t="str">
        <f aca="false">IF(B12="","",HYPERLINK("https://censusreporter.org/profiles/86000US"&amp;B12&amp;"-"&amp;B12&amp;"/","Profile"))</f>
        <v/>
      </c>
    </row>
    <row r="13" customFormat="false" ht="15" hidden="false" customHeight="false" outlineLevel="0" collapsed="false">
      <c r="A13" s="30"/>
      <c r="B13" s="30"/>
      <c r="C13" s="30"/>
      <c r="D13" s="41"/>
      <c r="E13" s="27"/>
      <c r="F13" s="27"/>
      <c r="G13" s="27"/>
      <c r="H13" s="31"/>
      <c r="I13" s="31"/>
      <c r="J13" s="31"/>
      <c r="K13" s="41"/>
      <c r="L13" s="42"/>
      <c r="M13" s="27"/>
      <c r="N13" s="27"/>
      <c r="O13" s="41"/>
      <c r="P13" s="43"/>
      <c r="Q13" s="30"/>
      <c r="R13" s="39" t="str">
        <f aca="false">IF(OR(E13="",F13="",E13=0),"",F13/(E13/3))</f>
        <v/>
      </c>
      <c r="S13" s="24" t="str">
        <f aca="false">IF(OR(D13="",K13="",D13=0),"",K13*12/D13)</f>
        <v/>
      </c>
      <c r="T13" s="24" t="str">
        <f aca="false">IF(OR(M13="",N13=""),"",IF(M13+N13=0,"",N13/(M13+N13)))</f>
        <v/>
      </c>
      <c r="U13" s="21" t="str">
        <f aca="false">IF(B13="","",COUNTIF('Past Flips'!$B$8:$B$307,B13)+COUNTIFS('Flip Candidates'!$B$8:$B$207,B13,'Flip Candidates'!$O$8:$O$207,"Likely flip"))</f>
        <v/>
      </c>
      <c r="V13" s="24" t="str">
        <f aca="false">IF(OR(U13="",E13="",E13=0),"",U13/(E13*4))</f>
        <v/>
      </c>
      <c r="W13" s="21" t="str">
        <f aca="false">IF(B13="","",COUNTIF('Listing Watch'!$B$8:$B$307,B13))</f>
        <v/>
      </c>
      <c r="X13" s="40" t="str">
        <f aca="false">IF(B13="","",HYPERLINK("https://www.redfin.com/zipcode/"&amp;B13&amp;"/housing-market","Redfin"))</f>
        <v/>
      </c>
      <c r="Y13" s="40" t="str">
        <f aca="false">IF(B13="","",HYPERLINK("https://data.census.gov/table/ACSDT5Y2024.B25032?g=860XX00US"&amp;B13,"B25032"))</f>
        <v/>
      </c>
      <c r="Z13" s="40" t="str">
        <f aca="false">IF(B13="","",HYPERLINK("https://censusreporter.org/profiles/86000US"&amp;B13&amp;"-"&amp;B13&amp;"/","Profile"))</f>
        <v/>
      </c>
    </row>
    <row r="14" customFormat="false" ht="15" hidden="false" customHeight="false" outlineLevel="0" collapsed="false">
      <c r="A14" s="30"/>
      <c r="B14" s="30"/>
      <c r="C14" s="30"/>
      <c r="D14" s="41"/>
      <c r="E14" s="27"/>
      <c r="F14" s="27"/>
      <c r="G14" s="27"/>
      <c r="H14" s="31"/>
      <c r="I14" s="31"/>
      <c r="J14" s="31"/>
      <c r="K14" s="41"/>
      <c r="L14" s="42"/>
      <c r="M14" s="27"/>
      <c r="N14" s="27"/>
      <c r="O14" s="41"/>
      <c r="P14" s="43"/>
      <c r="Q14" s="30"/>
      <c r="R14" s="39" t="str">
        <f aca="false">IF(OR(E14="",F14="",E14=0),"",F14/(E14/3))</f>
        <v/>
      </c>
      <c r="S14" s="24" t="str">
        <f aca="false">IF(OR(D14="",K14="",D14=0),"",K14*12/D14)</f>
        <v/>
      </c>
      <c r="T14" s="24" t="str">
        <f aca="false">IF(OR(M14="",N14=""),"",IF(M14+N14=0,"",N14/(M14+N14)))</f>
        <v/>
      </c>
      <c r="U14" s="21" t="str">
        <f aca="false">IF(B14="","",COUNTIF('Past Flips'!$B$8:$B$307,B14)+COUNTIFS('Flip Candidates'!$B$8:$B$207,B14,'Flip Candidates'!$O$8:$O$207,"Likely flip"))</f>
        <v/>
      </c>
      <c r="V14" s="24" t="str">
        <f aca="false">IF(OR(U14="",E14="",E14=0),"",U14/(E14*4))</f>
        <v/>
      </c>
      <c r="W14" s="21" t="str">
        <f aca="false">IF(B14="","",COUNTIF('Listing Watch'!$B$8:$B$307,B14))</f>
        <v/>
      </c>
      <c r="X14" s="40" t="str">
        <f aca="false">IF(B14="","",HYPERLINK("https://www.redfin.com/zipcode/"&amp;B14&amp;"/housing-market","Redfin"))</f>
        <v/>
      </c>
      <c r="Y14" s="40" t="str">
        <f aca="false">IF(B14="","",HYPERLINK("https://data.census.gov/table/ACSDT5Y2024.B25032?g=860XX00US"&amp;B14,"B25032"))</f>
        <v/>
      </c>
      <c r="Z14" s="40" t="str">
        <f aca="false">IF(B14="","",HYPERLINK("https://censusreporter.org/profiles/86000US"&amp;B14&amp;"-"&amp;B14&amp;"/","Profile"))</f>
        <v/>
      </c>
    </row>
    <row r="15" customFormat="false" ht="15" hidden="false" customHeight="false" outlineLevel="0" collapsed="false">
      <c r="A15" s="30"/>
      <c r="B15" s="30"/>
      <c r="C15" s="30"/>
      <c r="D15" s="41"/>
      <c r="E15" s="27"/>
      <c r="F15" s="27"/>
      <c r="G15" s="27"/>
      <c r="H15" s="31"/>
      <c r="I15" s="31"/>
      <c r="J15" s="31"/>
      <c r="K15" s="41"/>
      <c r="L15" s="42"/>
      <c r="M15" s="27"/>
      <c r="N15" s="27"/>
      <c r="O15" s="41"/>
      <c r="P15" s="43"/>
      <c r="Q15" s="30"/>
      <c r="R15" s="39" t="str">
        <f aca="false">IF(OR(E15="",F15="",E15=0),"",F15/(E15/3))</f>
        <v/>
      </c>
      <c r="S15" s="24" t="str">
        <f aca="false">IF(OR(D15="",K15="",D15=0),"",K15*12/D15)</f>
        <v/>
      </c>
      <c r="T15" s="24" t="str">
        <f aca="false">IF(OR(M15="",N15=""),"",IF(M15+N15=0,"",N15/(M15+N15)))</f>
        <v/>
      </c>
      <c r="U15" s="21" t="str">
        <f aca="false">IF(B15="","",COUNTIF('Past Flips'!$B$8:$B$307,B15)+COUNTIFS('Flip Candidates'!$B$8:$B$207,B15,'Flip Candidates'!$O$8:$O$207,"Likely flip"))</f>
        <v/>
      </c>
      <c r="V15" s="24" t="str">
        <f aca="false">IF(OR(U15="",E15="",E15=0),"",U15/(E15*4))</f>
        <v/>
      </c>
      <c r="W15" s="21" t="str">
        <f aca="false">IF(B15="","",COUNTIF('Listing Watch'!$B$8:$B$307,B15))</f>
        <v/>
      </c>
      <c r="X15" s="40" t="str">
        <f aca="false">IF(B15="","",HYPERLINK("https://www.redfin.com/zipcode/"&amp;B15&amp;"/housing-market","Redfin"))</f>
        <v/>
      </c>
      <c r="Y15" s="40" t="str">
        <f aca="false">IF(B15="","",HYPERLINK("https://data.census.gov/table/ACSDT5Y2024.B25032?g=860XX00US"&amp;B15,"B25032"))</f>
        <v/>
      </c>
      <c r="Z15" s="40" t="str">
        <f aca="false">IF(B15="","",HYPERLINK("https://censusreporter.org/profiles/86000US"&amp;B15&amp;"-"&amp;B15&amp;"/","Profile"))</f>
        <v/>
      </c>
    </row>
    <row r="16" customFormat="false" ht="15" hidden="false" customHeight="false" outlineLevel="0" collapsed="false">
      <c r="A16" s="30"/>
      <c r="B16" s="30"/>
      <c r="C16" s="30"/>
      <c r="D16" s="41"/>
      <c r="E16" s="27"/>
      <c r="F16" s="27"/>
      <c r="G16" s="27"/>
      <c r="H16" s="31"/>
      <c r="I16" s="31"/>
      <c r="J16" s="31"/>
      <c r="K16" s="41"/>
      <c r="L16" s="42"/>
      <c r="M16" s="27"/>
      <c r="N16" s="27"/>
      <c r="O16" s="41"/>
      <c r="P16" s="43"/>
      <c r="Q16" s="30"/>
      <c r="R16" s="39" t="str">
        <f aca="false">IF(OR(E16="",F16="",E16=0),"",F16/(E16/3))</f>
        <v/>
      </c>
      <c r="S16" s="24" t="str">
        <f aca="false">IF(OR(D16="",K16="",D16=0),"",K16*12/D16)</f>
        <v/>
      </c>
      <c r="T16" s="24" t="str">
        <f aca="false">IF(OR(M16="",N16=""),"",IF(M16+N16=0,"",N16/(M16+N16)))</f>
        <v/>
      </c>
      <c r="U16" s="21" t="str">
        <f aca="false">IF(B16="","",COUNTIF('Past Flips'!$B$8:$B$307,B16)+COUNTIFS('Flip Candidates'!$B$8:$B$207,B16,'Flip Candidates'!$O$8:$O$207,"Likely flip"))</f>
        <v/>
      </c>
      <c r="V16" s="24" t="str">
        <f aca="false">IF(OR(U16="",E16="",E16=0),"",U16/(E16*4))</f>
        <v/>
      </c>
      <c r="W16" s="21" t="str">
        <f aca="false">IF(B16="","",COUNTIF('Listing Watch'!$B$8:$B$307,B16))</f>
        <v/>
      </c>
      <c r="X16" s="40" t="str">
        <f aca="false">IF(B16="","",HYPERLINK("https://www.redfin.com/zipcode/"&amp;B16&amp;"/housing-market","Redfin"))</f>
        <v/>
      </c>
      <c r="Y16" s="40" t="str">
        <f aca="false">IF(B16="","",HYPERLINK("https://data.census.gov/table/ACSDT5Y2024.B25032?g=860XX00US"&amp;B16,"B25032"))</f>
        <v/>
      </c>
      <c r="Z16" s="40" t="str">
        <f aca="false">IF(B16="","",HYPERLINK("https://censusreporter.org/profiles/86000US"&amp;B16&amp;"-"&amp;B16&amp;"/","Profile"))</f>
        <v/>
      </c>
    </row>
    <row r="17" customFormat="false" ht="15" hidden="false" customHeight="false" outlineLevel="0" collapsed="false">
      <c r="A17" s="30"/>
      <c r="B17" s="30"/>
      <c r="C17" s="30"/>
      <c r="D17" s="41"/>
      <c r="E17" s="27"/>
      <c r="F17" s="27"/>
      <c r="G17" s="27"/>
      <c r="H17" s="31"/>
      <c r="I17" s="31"/>
      <c r="J17" s="31"/>
      <c r="K17" s="41"/>
      <c r="L17" s="42"/>
      <c r="M17" s="27"/>
      <c r="N17" s="27"/>
      <c r="O17" s="41"/>
      <c r="P17" s="43"/>
      <c r="Q17" s="30"/>
      <c r="R17" s="39" t="str">
        <f aca="false">IF(OR(E17="",F17="",E17=0),"",F17/(E17/3))</f>
        <v/>
      </c>
      <c r="S17" s="24" t="str">
        <f aca="false">IF(OR(D17="",K17="",D17=0),"",K17*12/D17)</f>
        <v/>
      </c>
      <c r="T17" s="24" t="str">
        <f aca="false">IF(OR(M17="",N17=""),"",IF(M17+N17=0,"",N17/(M17+N17)))</f>
        <v/>
      </c>
      <c r="U17" s="21" t="str">
        <f aca="false">IF(B17="","",COUNTIF('Past Flips'!$B$8:$B$307,B17)+COUNTIFS('Flip Candidates'!$B$8:$B$207,B17,'Flip Candidates'!$O$8:$O$207,"Likely flip"))</f>
        <v/>
      </c>
      <c r="V17" s="24" t="str">
        <f aca="false">IF(OR(U17="",E17="",E17=0),"",U17/(E17*4))</f>
        <v/>
      </c>
      <c r="W17" s="21" t="str">
        <f aca="false">IF(B17="","",COUNTIF('Listing Watch'!$B$8:$B$307,B17))</f>
        <v/>
      </c>
      <c r="X17" s="40" t="str">
        <f aca="false">IF(B17="","",HYPERLINK("https://www.redfin.com/zipcode/"&amp;B17&amp;"/housing-market","Redfin"))</f>
        <v/>
      </c>
      <c r="Y17" s="40" t="str">
        <f aca="false">IF(B17="","",HYPERLINK("https://data.census.gov/table/ACSDT5Y2024.B25032?g=860XX00US"&amp;B17,"B25032"))</f>
        <v/>
      </c>
      <c r="Z17" s="40" t="str">
        <f aca="false">IF(B17="","",HYPERLINK("https://censusreporter.org/profiles/86000US"&amp;B17&amp;"-"&amp;B17&amp;"/","Profile"))</f>
        <v/>
      </c>
    </row>
    <row r="18" customFormat="false" ht="15" hidden="false" customHeight="false" outlineLevel="0" collapsed="false">
      <c r="A18" s="30"/>
      <c r="B18" s="30"/>
      <c r="C18" s="30"/>
      <c r="D18" s="41"/>
      <c r="E18" s="27"/>
      <c r="F18" s="27"/>
      <c r="G18" s="27"/>
      <c r="H18" s="31"/>
      <c r="I18" s="31"/>
      <c r="J18" s="31"/>
      <c r="K18" s="41"/>
      <c r="L18" s="42"/>
      <c r="M18" s="27"/>
      <c r="N18" s="27"/>
      <c r="O18" s="41"/>
      <c r="P18" s="43"/>
      <c r="Q18" s="30"/>
      <c r="R18" s="39" t="str">
        <f aca="false">IF(OR(E18="",F18="",E18=0),"",F18/(E18/3))</f>
        <v/>
      </c>
      <c r="S18" s="24" t="str">
        <f aca="false">IF(OR(D18="",K18="",D18=0),"",K18*12/D18)</f>
        <v/>
      </c>
      <c r="T18" s="24" t="str">
        <f aca="false">IF(OR(M18="",N18=""),"",IF(M18+N18=0,"",N18/(M18+N18)))</f>
        <v/>
      </c>
      <c r="U18" s="21" t="str">
        <f aca="false">IF(B18="","",COUNTIF('Past Flips'!$B$8:$B$307,B18)+COUNTIFS('Flip Candidates'!$B$8:$B$207,B18,'Flip Candidates'!$O$8:$O$207,"Likely flip"))</f>
        <v/>
      </c>
      <c r="V18" s="24" t="str">
        <f aca="false">IF(OR(U18="",E18="",E18=0),"",U18/(E18*4))</f>
        <v/>
      </c>
      <c r="W18" s="21" t="str">
        <f aca="false">IF(B18="","",COUNTIF('Listing Watch'!$B$8:$B$307,B18))</f>
        <v/>
      </c>
      <c r="X18" s="40" t="str">
        <f aca="false">IF(B18="","",HYPERLINK("https://www.redfin.com/zipcode/"&amp;B18&amp;"/housing-market","Redfin"))</f>
        <v/>
      </c>
      <c r="Y18" s="40" t="str">
        <f aca="false">IF(B18="","",HYPERLINK("https://data.census.gov/table/ACSDT5Y2024.B25032?g=860XX00US"&amp;B18,"B25032"))</f>
        <v/>
      </c>
      <c r="Z18" s="40" t="str">
        <f aca="false">IF(B18="","",HYPERLINK("https://censusreporter.org/profiles/86000US"&amp;B18&amp;"-"&amp;B18&amp;"/","Profile"))</f>
        <v/>
      </c>
    </row>
    <row r="19" customFormat="false" ht="15" hidden="false" customHeight="false" outlineLevel="0" collapsed="false">
      <c r="A19" s="30"/>
      <c r="B19" s="30"/>
      <c r="C19" s="30"/>
      <c r="D19" s="41"/>
      <c r="E19" s="27"/>
      <c r="F19" s="27"/>
      <c r="G19" s="27"/>
      <c r="H19" s="31"/>
      <c r="I19" s="31"/>
      <c r="J19" s="31"/>
      <c r="K19" s="41"/>
      <c r="L19" s="42"/>
      <c r="M19" s="27"/>
      <c r="N19" s="27"/>
      <c r="O19" s="41"/>
      <c r="P19" s="43"/>
      <c r="Q19" s="30"/>
      <c r="R19" s="39" t="str">
        <f aca="false">IF(OR(E19="",F19="",E19=0),"",F19/(E19/3))</f>
        <v/>
      </c>
      <c r="S19" s="24" t="str">
        <f aca="false">IF(OR(D19="",K19="",D19=0),"",K19*12/D19)</f>
        <v/>
      </c>
      <c r="T19" s="24" t="str">
        <f aca="false">IF(OR(M19="",N19=""),"",IF(M19+N19=0,"",N19/(M19+N19)))</f>
        <v/>
      </c>
      <c r="U19" s="21" t="str">
        <f aca="false">IF(B19="","",COUNTIF('Past Flips'!$B$8:$B$307,B19)+COUNTIFS('Flip Candidates'!$B$8:$B$207,B19,'Flip Candidates'!$O$8:$O$207,"Likely flip"))</f>
        <v/>
      </c>
      <c r="V19" s="24" t="str">
        <f aca="false">IF(OR(U19="",E19="",E19=0),"",U19/(E19*4))</f>
        <v/>
      </c>
      <c r="W19" s="21" t="str">
        <f aca="false">IF(B19="","",COUNTIF('Listing Watch'!$B$8:$B$307,B19))</f>
        <v/>
      </c>
      <c r="X19" s="40" t="str">
        <f aca="false">IF(B19="","",HYPERLINK("https://www.redfin.com/zipcode/"&amp;B19&amp;"/housing-market","Redfin"))</f>
        <v/>
      </c>
      <c r="Y19" s="40" t="str">
        <f aca="false">IF(B19="","",HYPERLINK("https://data.census.gov/table/ACSDT5Y2024.B25032?g=860XX00US"&amp;B19,"B25032"))</f>
        <v/>
      </c>
      <c r="Z19" s="40" t="str">
        <f aca="false">IF(B19="","",HYPERLINK("https://censusreporter.org/profiles/86000US"&amp;B19&amp;"-"&amp;B19&amp;"/","Profile"))</f>
        <v/>
      </c>
    </row>
    <row r="20" customFormat="false" ht="15" hidden="false" customHeight="false" outlineLevel="0" collapsed="false">
      <c r="A20" s="30"/>
      <c r="B20" s="30"/>
      <c r="C20" s="30"/>
      <c r="D20" s="41"/>
      <c r="E20" s="27"/>
      <c r="F20" s="27"/>
      <c r="G20" s="27"/>
      <c r="H20" s="31"/>
      <c r="I20" s="31"/>
      <c r="J20" s="31"/>
      <c r="K20" s="41"/>
      <c r="L20" s="42"/>
      <c r="M20" s="27"/>
      <c r="N20" s="27"/>
      <c r="O20" s="41"/>
      <c r="P20" s="43"/>
      <c r="Q20" s="30"/>
      <c r="R20" s="39" t="str">
        <f aca="false">IF(OR(E20="",F20="",E20=0),"",F20/(E20/3))</f>
        <v/>
      </c>
      <c r="S20" s="24" t="str">
        <f aca="false">IF(OR(D20="",K20="",D20=0),"",K20*12/D20)</f>
        <v/>
      </c>
      <c r="T20" s="24" t="str">
        <f aca="false">IF(OR(M20="",N20=""),"",IF(M20+N20=0,"",N20/(M20+N20)))</f>
        <v/>
      </c>
      <c r="U20" s="21" t="str">
        <f aca="false">IF(B20="","",COUNTIF('Past Flips'!$B$8:$B$307,B20)+COUNTIFS('Flip Candidates'!$B$8:$B$207,B20,'Flip Candidates'!$O$8:$O$207,"Likely flip"))</f>
        <v/>
      </c>
      <c r="V20" s="24" t="str">
        <f aca="false">IF(OR(U20="",E20="",E20=0),"",U20/(E20*4))</f>
        <v/>
      </c>
      <c r="W20" s="21" t="str">
        <f aca="false">IF(B20="","",COUNTIF('Listing Watch'!$B$8:$B$307,B20))</f>
        <v/>
      </c>
      <c r="X20" s="40" t="str">
        <f aca="false">IF(B20="","",HYPERLINK("https://www.redfin.com/zipcode/"&amp;B20&amp;"/housing-market","Redfin"))</f>
        <v/>
      </c>
      <c r="Y20" s="40" t="str">
        <f aca="false">IF(B20="","",HYPERLINK("https://data.census.gov/table/ACSDT5Y2024.B25032?g=860XX00US"&amp;B20,"B25032"))</f>
        <v/>
      </c>
      <c r="Z20" s="40" t="str">
        <f aca="false">IF(B20="","",HYPERLINK("https://censusreporter.org/profiles/86000US"&amp;B20&amp;"-"&amp;B20&amp;"/","Profile"))</f>
        <v/>
      </c>
    </row>
    <row r="21" customFormat="false" ht="15" hidden="false" customHeight="false" outlineLevel="0" collapsed="false">
      <c r="A21" s="30"/>
      <c r="B21" s="30"/>
      <c r="C21" s="30"/>
      <c r="D21" s="41"/>
      <c r="E21" s="27"/>
      <c r="F21" s="27"/>
      <c r="G21" s="27"/>
      <c r="H21" s="31"/>
      <c r="I21" s="31"/>
      <c r="J21" s="31"/>
      <c r="K21" s="41"/>
      <c r="L21" s="42"/>
      <c r="M21" s="27"/>
      <c r="N21" s="27"/>
      <c r="O21" s="41"/>
      <c r="P21" s="43"/>
      <c r="Q21" s="30"/>
      <c r="R21" s="39" t="str">
        <f aca="false">IF(OR(E21="",F21="",E21=0),"",F21/(E21/3))</f>
        <v/>
      </c>
      <c r="S21" s="24" t="str">
        <f aca="false">IF(OR(D21="",K21="",D21=0),"",K21*12/D21)</f>
        <v/>
      </c>
      <c r="T21" s="24" t="str">
        <f aca="false">IF(OR(M21="",N21=""),"",IF(M21+N21=0,"",N21/(M21+N21)))</f>
        <v/>
      </c>
      <c r="U21" s="21" t="str">
        <f aca="false">IF(B21="","",COUNTIF('Past Flips'!$B$8:$B$307,B21)+COUNTIFS('Flip Candidates'!$B$8:$B$207,B21,'Flip Candidates'!$O$8:$O$207,"Likely flip"))</f>
        <v/>
      </c>
      <c r="V21" s="24" t="str">
        <f aca="false">IF(OR(U21="",E21="",E21=0),"",U21/(E21*4))</f>
        <v/>
      </c>
      <c r="W21" s="21" t="str">
        <f aca="false">IF(B21="","",COUNTIF('Listing Watch'!$B$8:$B$307,B21))</f>
        <v/>
      </c>
      <c r="X21" s="40" t="str">
        <f aca="false">IF(B21="","",HYPERLINK("https://www.redfin.com/zipcode/"&amp;B21&amp;"/housing-market","Redfin"))</f>
        <v/>
      </c>
      <c r="Y21" s="40" t="str">
        <f aca="false">IF(B21="","",HYPERLINK("https://data.census.gov/table/ACSDT5Y2024.B25032?g=860XX00US"&amp;B21,"B25032"))</f>
        <v/>
      </c>
      <c r="Z21" s="40" t="str">
        <f aca="false">IF(B21="","",HYPERLINK("https://censusreporter.org/profiles/86000US"&amp;B21&amp;"-"&amp;B21&amp;"/","Profile"))</f>
        <v/>
      </c>
    </row>
    <row r="22" customFormat="false" ht="15" hidden="false" customHeight="false" outlineLevel="0" collapsed="false">
      <c r="A22" s="30"/>
      <c r="B22" s="30"/>
      <c r="C22" s="30"/>
      <c r="D22" s="41"/>
      <c r="E22" s="27"/>
      <c r="F22" s="27"/>
      <c r="G22" s="27"/>
      <c r="H22" s="31"/>
      <c r="I22" s="31"/>
      <c r="J22" s="31"/>
      <c r="K22" s="41"/>
      <c r="L22" s="42"/>
      <c r="M22" s="27"/>
      <c r="N22" s="27"/>
      <c r="O22" s="41"/>
      <c r="P22" s="43"/>
      <c r="Q22" s="30"/>
      <c r="R22" s="39" t="str">
        <f aca="false">IF(OR(E22="",F22="",E22=0),"",F22/(E22/3))</f>
        <v/>
      </c>
      <c r="S22" s="24" t="str">
        <f aca="false">IF(OR(D22="",K22="",D22=0),"",K22*12/D22)</f>
        <v/>
      </c>
      <c r="T22" s="24" t="str">
        <f aca="false">IF(OR(M22="",N22=""),"",IF(M22+N22=0,"",N22/(M22+N22)))</f>
        <v/>
      </c>
      <c r="U22" s="21" t="str">
        <f aca="false">IF(B22="","",COUNTIF('Past Flips'!$B$8:$B$307,B22)+COUNTIFS('Flip Candidates'!$B$8:$B$207,B22,'Flip Candidates'!$O$8:$O$207,"Likely flip"))</f>
        <v/>
      </c>
      <c r="V22" s="24" t="str">
        <f aca="false">IF(OR(U22="",E22="",E22=0),"",U22/(E22*4))</f>
        <v/>
      </c>
      <c r="W22" s="21" t="str">
        <f aca="false">IF(B22="","",COUNTIF('Listing Watch'!$B$8:$B$307,B22))</f>
        <v/>
      </c>
      <c r="X22" s="40" t="str">
        <f aca="false">IF(B22="","",HYPERLINK("https://www.redfin.com/zipcode/"&amp;B22&amp;"/housing-market","Redfin"))</f>
        <v/>
      </c>
      <c r="Y22" s="40" t="str">
        <f aca="false">IF(B22="","",HYPERLINK("https://data.census.gov/table/ACSDT5Y2024.B25032?g=860XX00US"&amp;B22,"B25032"))</f>
        <v/>
      </c>
      <c r="Z22" s="40" t="str">
        <f aca="false">IF(B22="","",HYPERLINK("https://censusreporter.org/profiles/86000US"&amp;B22&amp;"-"&amp;B22&amp;"/","Profile"))</f>
        <v/>
      </c>
    </row>
    <row r="23" customFormat="false" ht="15" hidden="false" customHeight="false" outlineLevel="0" collapsed="false">
      <c r="A23" s="30"/>
      <c r="B23" s="30"/>
      <c r="C23" s="30"/>
      <c r="D23" s="41"/>
      <c r="E23" s="27"/>
      <c r="F23" s="27"/>
      <c r="G23" s="27"/>
      <c r="H23" s="31"/>
      <c r="I23" s="31"/>
      <c r="J23" s="31"/>
      <c r="K23" s="41"/>
      <c r="L23" s="42"/>
      <c r="M23" s="27"/>
      <c r="N23" s="27"/>
      <c r="O23" s="41"/>
      <c r="P23" s="43"/>
      <c r="Q23" s="30"/>
      <c r="R23" s="39" t="str">
        <f aca="false">IF(OR(E23="",F23="",E23=0),"",F23/(E23/3))</f>
        <v/>
      </c>
      <c r="S23" s="24" t="str">
        <f aca="false">IF(OR(D23="",K23="",D23=0),"",K23*12/D23)</f>
        <v/>
      </c>
      <c r="T23" s="24" t="str">
        <f aca="false">IF(OR(M23="",N23=""),"",IF(M23+N23=0,"",N23/(M23+N23)))</f>
        <v/>
      </c>
      <c r="U23" s="21" t="str">
        <f aca="false">IF(B23="","",COUNTIF('Past Flips'!$B$8:$B$307,B23)+COUNTIFS('Flip Candidates'!$B$8:$B$207,B23,'Flip Candidates'!$O$8:$O$207,"Likely flip"))</f>
        <v/>
      </c>
      <c r="V23" s="24" t="str">
        <f aca="false">IF(OR(U23="",E23="",E23=0),"",U23/(E23*4))</f>
        <v/>
      </c>
      <c r="W23" s="21" t="str">
        <f aca="false">IF(B23="","",COUNTIF('Listing Watch'!$B$8:$B$307,B23))</f>
        <v/>
      </c>
      <c r="X23" s="40" t="str">
        <f aca="false">IF(B23="","",HYPERLINK("https://www.redfin.com/zipcode/"&amp;B23&amp;"/housing-market","Redfin"))</f>
        <v/>
      </c>
      <c r="Y23" s="40" t="str">
        <f aca="false">IF(B23="","",HYPERLINK("https://data.census.gov/table/ACSDT5Y2024.B25032?g=860XX00US"&amp;B23,"B25032"))</f>
        <v/>
      </c>
      <c r="Z23" s="40" t="str">
        <f aca="false">IF(B23="","",HYPERLINK("https://censusreporter.org/profiles/86000US"&amp;B23&amp;"-"&amp;B23&amp;"/","Profile"))</f>
        <v/>
      </c>
    </row>
    <row r="24" customFormat="false" ht="15" hidden="false" customHeight="false" outlineLevel="0" collapsed="false">
      <c r="A24" s="30"/>
      <c r="B24" s="30"/>
      <c r="C24" s="30"/>
      <c r="D24" s="41"/>
      <c r="E24" s="27"/>
      <c r="F24" s="27"/>
      <c r="G24" s="27"/>
      <c r="H24" s="31"/>
      <c r="I24" s="31"/>
      <c r="J24" s="31"/>
      <c r="K24" s="41"/>
      <c r="L24" s="42"/>
      <c r="M24" s="27"/>
      <c r="N24" s="27"/>
      <c r="O24" s="41"/>
      <c r="P24" s="43"/>
      <c r="Q24" s="30"/>
      <c r="R24" s="39" t="str">
        <f aca="false">IF(OR(E24="",F24="",E24=0),"",F24/(E24/3))</f>
        <v/>
      </c>
      <c r="S24" s="24" t="str">
        <f aca="false">IF(OR(D24="",K24="",D24=0),"",K24*12/D24)</f>
        <v/>
      </c>
      <c r="T24" s="24" t="str">
        <f aca="false">IF(OR(M24="",N24=""),"",IF(M24+N24=0,"",N24/(M24+N24)))</f>
        <v/>
      </c>
      <c r="U24" s="21" t="str">
        <f aca="false">IF(B24="","",COUNTIF('Past Flips'!$B$8:$B$307,B24)+COUNTIFS('Flip Candidates'!$B$8:$B$207,B24,'Flip Candidates'!$O$8:$O$207,"Likely flip"))</f>
        <v/>
      </c>
      <c r="V24" s="24" t="str">
        <f aca="false">IF(OR(U24="",E24="",E24=0),"",U24/(E24*4))</f>
        <v/>
      </c>
      <c r="W24" s="21" t="str">
        <f aca="false">IF(B24="","",COUNTIF('Listing Watch'!$B$8:$B$307,B24))</f>
        <v/>
      </c>
      <c r="X24" s="40" t="str">
        <f aca="false">IF(B24="","",HYPERLINK("https://www.redfin.com/zipcode/"&amp;B24&amp;"/housing-market","Redfin"))</f>
        <v/>
      </c>
      <c r="Y24" s="40" t="str">
        <f aca="false">IF(B24="","",HYPERLINK("https://data.census.gov/table/ACSDT5Y2024.B25032?g=860XX00US"&amp;B24,"B25032"))</f>
        <v/>
      </c>
      <c r="Z24" s="40" t="str">
        <f aca="false">IF(B24="","",HYPERLINK("https://censusreporter.org/profiles/86000US"&amp;B24&amp;"-"&amp;B24&amp;"/","Profile"))</f>
        <v/>
      </c>
    </row>
    <row r="25" customFormat="false" ht="15" hidden="false" customHeight="false" outlineLevel="0" collapsed="false">
      <c r="A25" s="30"/>
      <c r="B25" s="30"/>
      <c r="C25" s="30"/>
      <c r="D25" s="41"/>
      <c r="E25" s="27"/>
      <c r="F25" s="27"/>
      <c r="G25" s="27"/>
      <c r="H25" s="31"/>
      <c r="I25" s="31"/>
      <c r="J25" s="31"/>
      <c r="K25" s="41"/>
      <c r="L25" s="42"/>
      <c r="M25" s="27"/>
      <c r="N25" s="27"/>
      <c r="O25" s="41"/>
      <c r="P25" s="43"/>
      <c r="Q25" s="30"/>
      <c r="R25" s="39" t="str">
        <f aca="false">IF(OR(E25="",F25="",E25=0),"",F25/(E25/3))</f>
        <v/>
      </c>
      <c r="S25" s="24" t="str">
        <f aca="false">IF(OR(D25="",K25="",D25=0),"",K25*12/D25)</f>
        <v/>
      </c>
      <c r="T25" s="24" t="str">
        <f aca="false">IF(OR(M25="",N25=""),"",IF(M25+N25=0,"",N25/(M25+N25)))</f>
        <v/>
      </c>
      <c r="U25" s="21" t="str">
        <f aca="false">IF(B25="","",COUNTIF('Past Flips'!$B$8:$B$307,B25)+COUNTIFS('Flip Candidates'!$B$8:$B$207,B25,'Flip Candidates'!$O$8:$O$207,"Likely flip"))</f>
        <v/>
      </c>
      <c r="V25" s="24" t="str">
        <f aca="false">IF(OR(U25="",E25="",E25=0),"",U25/(E25*4))</f>
        <v/>
      </c>
      <c r="W25" s="21" t="str">
        <f aca="false">IF(B25="","",COUNTIF('Listing Watch'!$B$8:$B$307,B25))</f>
        <v/>
      </c>
      <c r="X25" s="40" t="str">
        <f aca="false">IF(B25="","",HYPERLINK("https://www.redfin.com/zipcode/"&amp;B25&amp;"/housing-market","Redfin"))</f>
        <v/>
      </c>
      <c r="Y25" s="40" t="str">
        <f aca="false">IF(B25="","",HYPERLINK("https://data.census.gov/table/ACSDT5Y2024.B25032?g=860XX00US"&amp;B25,"B25032"))</f>
        <v/>
      </c>
      <c r="Z25" s="40" t="str">
        <f aca="false">IF(B25="","",HYPERLINK("https://censusreporter.org/profiles/86000US"&amp;B25&amp;"-"&amp;B25&amp;"/","Profile"))</f>
        <v/>
      </c>
    </row>
    <row r="26" customFormat="false" ht="15" hidden="false" customHeight="false" outlineLevel="0" collapsed="false">
      <c r="A26" s="30"/>
      <c r="B26" s="30"/>
      <c r="C26" s="30"/>
      <c r="D26" s="41"/>
      <c r="E26" s="27"/>
      <c r="F26" s="27"/>
      <c r="G26" s="27"/>
      <c r="H26" s="31"/>
      <c r="I26" s="31"/>
      <c r="J26" s="31"/>
      <c r="K26" s="41"/>
      <c r="L26" s="42"/>
      <c r="M26" s="27"/>
      <c r="N26" s="27"/>
      <c r="O26" s="41"/>
      <c r="P26" s="43"/>
      <c r="Q26" s="30"/>
      <c r="R26" s="39" t="str">
        <f aca="false">IF(OR(E26="",F26="",E26=0),"",F26/(E26/3))</f>
        <v/>
      </c>
      <c r="S26" s="24" t="str">
        <f aca="false">IF(OR(D26="",K26="",D26=0),"",K26*12/D26)</f>
        <v/>
      </c>
      <c r="T26" s="24" t="str">
        <f aca="false">IF(OR(M26="",N26=""),"",IF(M26+N26=0,"",N26/(M26+N26)))</f>
        <v/>
      </c>
      <c r="U26" s="21" t="str">
        <f aca="false">IF(B26="","",COUNTIF('Past Flips'!$B$8:$B$307,B26)+COUNTIFS('Flip Candidates'!$B$8:$B$207,B26,'Flip Candidates'!$O$8:$O$207,"Likely flip"))</f>
        <v/>
      </c>
      <c r="V26" s="24" t="str">
        <f aca="false">IF(OR(U26="",E26="",E26=0),"",U26/(E26*4))</f>
        <v/>
      </c>
      <c r="W26" s="21" t="str">
        <f aca="false">IF(B26="","",COUNTIF('Listing Watch'!$B$8:$B$307,B26))</f>
        <v/>
      </c>
      <c r="X26" s="40" t="str">
        <f aca="false">IF(B26="","",HYPERLINK("https://www.redfin.com/zipcode/"&amp;B26&amp;"/housing-market","Redfin"))</f>
        <v/>
      </c>
      <c r="Y26" s="40" t="str">
        <f aca="false">IF(B26="","",HYPERLINK("https://data.census.gov/table/ACSDT5Y2024.B25032?g=860XX00US"&amp;B26,"B25032"))</f>
        <v/>
      </c>
      <c r="Z26" s="40" t="str">
        <f aca="false">IF(B26="","",HYPERLINK("https://censusreporter.org/profiles/86000US"&amp;B26&amp;"-"&amp;B26&amp;"/","Profile"))</f>
        <v/>
      </c>
    </row>
    <row r="27" customFormat="false" ht="15" hidden="false" customHeight="false" outlineLevel="0" collapsed="false">
      <c r="A27" s="30"/>
      <c r="B27" s="30"/>
      <c r="C27" s="30"/>
      <c r="D27" s="41"/>
      <c r="E27" s="27"/>
      <c r="F27" s="27"/>
      <c r="G27" s="27"/>
      <c r="H27" s="31"/>
      <c r="I27" s="31"/>
      <c r="J27" s="31"/>
      <c r="K27" s="41"/>
      <c r="L27" s="42"/>
      <c r="M27" s="27"/>
      <c r="N27" s="27"/>
      <c r="O27" s="41"/>
      <c r="P27" s="43"/>
      <c r="Q27" s="30"/>
      <c r="R27" s="39" t="str">
        <f aca="false">IF(OR(E27="",F27="",E27=0),"",F27/(E27/3))</f>
        <v/>
      </c>
      <c r="S27" s="24" t="str">
        <f aca="false">IF(OR(D27="",K27="",D27=0),"",K27*12/D27)</f>
        <v/>
      </c>
      <c r="T27" s="24" t="str">
        <f aca="false">IF(OR(M27="",N27=""),"",IF(M27+N27=0,"",N27/(M27+N27)))</f>
        <v/>
      </c>
      <c r="U27" s="21" t="str">
        <f aca="false">IF(B27="","",COUNTIF('Past Flips'!$B$8:$B$307,B27)+COUNTIFS('Flip Candidates'!$B$8:$B$207,B27,'Flip Candidates'!$O$8:$O$207,"Likely flip"))</f>
        <v/>
      </c>
      <c r="V27" s="24" t="str">
        <f aca="false">IF(OR(U27="",E27="",E27=0),"",U27/(E27*4))</f>
        <v/>
      </c>
      <c r="W27" s="21" t="str">
        <f aca="false">IF(B27="","",COUNTIF('Listing Watch'!$B$8:$B$307,B27))</f>
        <v/>
      </c>
      <c r="X27" s="40" t="str">
        <f aca="false">IF(B27="","",HYPERLINK("https://www.redfin.com/zipcode/"&amp;B27&amp;"/housing-market","Redfin"))</f>
        <v/>
      </c>
      <c r="Y27" s="40" t="str">
        <f aca="false">IF(B27="","",HYPERLINK("https://data.census.gov/table/ACSDT5Y2024.B25032?g=860XX00US"&amp;B27,"B25032"))</f>
        <v/>
      </c>
      <c r="Z27" s="40" t="str">
        <f aca="false">IF(B27="","",HYPERLINK("https://censusreporter.org/profiles/86000US"&amp;B27&amp;"-"&amp;B27&amp;"/","Profile"))</f>
        <v/>
      </c>
    </row>
    <row r="28" customFormat="false" ht="15" hidden="false" customHeight="false" outlineLevel="0" collapsed="false">
      <c r="A28" s="30"/>
      <c r="B28" s="30"/>
      <c r="C28" s="30"/>
      <c r="D28" s="41"/>
      <c r="E28" s="27"/>
      <c r="F28" s="27"/>
      <c r="G28" s="27"/>
      <c r="H28" s="31"/>
      <c r="I28" s="31"/>
      <c r="J28" s="31"/>
      <c r="K28" s="41"/>
      <c r="L28" s="42"/>
      <c r="M28" s="27"/>
      <c r="N28" s="27"/>
      <c r="O28" s="41"/>
      <c r="P28" s="43"/>
      <c r="Q28" s="30"/>
      <c r="R28" s="39" t="str">
        <f aca="false">IF(OR(E28="",F28="",E28=0),"",F28/(E28/3))</f>
        <v/>
      </c>
      <c r="S28" s="24" t="str">
        <f aca="false">IF(OR(D28="",K28="",D28=0),"",K28*12/D28)</f>
        <v/>
      </c>
      <c r="T28" s="24" t="str">
        <f aca="false">IF(OR(M28="",N28=""),"",IF(M28+N28=0,"",N28/(M28+N28)))</f>
        <v/>
      </c>
      <c r="U28" s="21" t="str">
        <f aca="false">IF(B28="","",COUNTIF('Past Flips'!$B$8:$B$307,B28)+COUNTIFS('Flip Candidates'!$B$8:$B$207,B28,'Flip Candidates'!$O$8:$O$207,"Likely flip"))</f>
        <v/>
      </c>
      <c r="V28" s="24" t="str">
        <f aca="false">IF(OR(U28="",E28="",E28=0),"",U28/(E28*4))</f>
        <v/>
      </c>
      <c r="W28" s="21" t="str">
        <f aca="false">IF(B28="","",COUNTIF('Listing Watch'!$B$8:$B$307,B28))</f>
        <v/>
      </c>
      <c r="X28" s="40" t="str">
        <f aca="false">IF(B28="","",HYPERLINK("https://www.redfin.com/zipcode/"&amp;B28&amp;"/housing-market","Redfin"))</f>
        <v/>
      </c>
      <c r="Y28" s="40" t="str">
        <f aca="false">IF(B28="","",HYPERLINK("https://data.census.gov/table/ACSDT5Y2024.B25032?g=860XX00US"&amp;B28,"B25032"))</f>
        <v/>
      </c>
      <c r="Z28" s="40" t="str">
        <f aca="false">IF(B28="","",HYPERLINK("https://censusreporter.org/profiles/86000US"&amp;B28&amp;"-"&amp;B28&amp;"/","Profile"))</f>
        <v/>
      </c>
    </row>
    <row r="29" customFormat="false" ht="15" hidden="false" customHeight="false" outlineLevel="0" collapsed="false">
      <c r="A29" s="30"/>
      <c r="B29" s="30"/>
      <c r="C29" s="30"/>
      <c r="D29" s="41"/>
      <c r="E29" s="27"/>
      <c r="F29" s="27"/>
      <c r="G29" s="27"/>
      <c r="H29" s="31"/>
      <c r="I29" s="31"/>
      <c r="J29" s="31"/>
      <c r="K29" s="41"/>
      <c r="L29" s="42"/>
      <c r="M29" s="27"/>
      <c r="N29" s="27"/>
      <c r="O29" s="41"/>
      <c r="P29" s="43"/>
      <c r="Q29" s="30"/>
      <c r="R29" s="39" t="str">
        <f aca="false">IF(OR(E29="",F29="",E29=0),"",F29/(E29/3))</f>
        <v/>
      </c>
      <c r="S29" s="24" t="str">
        <f aca="false">IF(OR(D29="",K29="",D29=0),"",K29*12/D29)</f>
        <v/>
      </c>
      <c r="T29" s="24" t="str">
        <f aca="false">IF(OR(M29="",N29=""),"",IF(M29+N29=0,"",N29/(M29+N29)))</f>
        <v/>
      </c>
      <c r="U29" s="21" t="str">
        <f aca="false">IF(B29="","",COUNTIF('Past Flips'!$B$8:$B$307,B29)+COUNTIFS('Flip Candidates'!$B$8:$B$207,B29,'Flip Candidates'!$O$8:$O$207,"Likely flip"))</f>
        <v/>
      </c>
      <c r="V29" s="24" t="str">
        <f aca="false">IF(OR(U29="",E29="",E29=0),"",U29/(E29*4))</f>
        <v/>
      </c>
      <c r="W29" s="21" t="str">
        <f aca="false">IF(B29="","",COUNTIF('Listing Watch'!$B$8:$B$307,B29))</f>
        <v/>
      </c>
      <c r="X29" s="40" t="str">
        <f aca="false">IF(B29="","",HYPERLINK("https://www.redfin.com/zipcode/"&amp;B29&amp;"/housing-market","Redfin"))</f>
        <v/>
      </c>
      <c r="Y29" s="40" t="str">
        <f aca="false">IF(B29="","",HYPERLINK("https://data.census.gov/table/ACSDT5Y2024.B25032?g=860XX00US"&amp;B29,"B25032"))</f>
        <v/>
      </c>
      <c r="Z29" s="40" t="str">
        <f aca="false">IF(B29="","",HYPERLINK("https://censusreporter.org/profiles/86000US"&amp;B29&amp;"-"&amp;B29&amp;"/","Profile"))</f>
        <v/>
      </c>
    </row>
    <row r="30" customFormat="false" ht="15" hidden="false" customHeight="false" outlineLevel="0" collapsed="false">
      <c r="A30" s="30"/>
      <c r="B30" s="30"/>
      <c r="C30" s="30"/>
      <c r="D30" s="41"/>
      <c r="E30" s="27"/>
      <c r="F30" s="27"/>
      <c r="G30" s="27"/>
      <c r="H30" s="31"/>
      <c r="I30" s="31"/>
      <c r="J30" s="31"/>
      <c r="K30" s="41"/>
      <c r="L30" s="42"/>
      <c r="M30" s="27"/>
      <c r="N30" s="27"/>
      <c r="O30" s="41"/>
      <c r="P30" s="43"/>
      <c r="Q30" s="30"/>
      <c r="R30" s="39" t="str">
        <f aca="false">IF(OR(E30="",F30="",E30=0),"",F30/(E30/3))</f>
        <v/>
      </c>
      <c r="S30" s="24" t="str">
        <f aca="false">IF(OR(D30="",K30="",D30=0),"",K30*12/D30)</f>
        <v/>
      </c>
      <c r="T30" s="24" t="str">
        <f aca="false">IF(OR(M30="",N30=""),"",IF(M30+N30=0,"",N30/(M30+N30)))</f>
        <v/>
      </c>
      <c r="U30" s="21" t="str">
        <f aca="false">IF(B30="","",COUNTIF('Past Flips'!$B$8:$B$307,B30)+COUNTIFS('Flip Candidates'!$B$8:$B$207,B30,'Flip Candidates'!$O$8:$O$207,"Likely flip"))</f>
        <v/>
      </c>
      <c r="V30" s="24" t="str">
        <f aca="false">IF(OR(U30="",E30="",E30=0),"",U30/(E30*4))</f>
        <v/>
      </c>
      <c r="W30" s="21" t="str">
        <f aca="false">IF(B30="","",COUNTIF('Listing Watch'!$B$8:$B$307,B30))</f>
        <v/>
      </c>
      <c r="X30" s="40" t="str">
        <f aca="false">IF(B30="","",HYPERLINK("https://www.redfin.com/zipcode/"&amp;B30&amp;"/housing-market","Redfin"))</f>
        <v/>
      </c>
      <c r="Y30" s="40" t="str">
        <f aca="false">IF(B30="","",HYPERLINK("https://data.census.gov/table/ACSDT5Y2024.B25032?g=860XX00US"&amp;B30,"B25032"))</f>
        <v/>
      </c>
      <c r="Z30" s="40" t="str">
        <f aca="false">IF(B30="","",HYPERLINK("https://censusreporter.org/profiles/86000US"&amp;B30&amp;"-"&amp;B30&amp;"/","Profile"))</f>
        <v/>
      </c>
    </row>
    <row r="31" customFormat="false" ht="15" hidden="false" customHeight="false" outlineLevel="0" collapsed="false">
      <c r="A31" s="30"/>
      <c r="B31" s="30"/>
      <c r="C31" s="30"/>
      <c r="D31" s="41"/>
      <c r="E31" s="27"/>
      <c r="F31" s="27"/>
      <c r="G31" s="27"/>
      <c r="H31" s="31"/>
      <c r="I31" s="31"/>
      <c r="J31" s="31"/>
      <c r="K31" s="41"/>
      <c r="L31" s="42"/>
      <c r="M31" s="27"/>
      <c r="N31" s="27"/>
      <c r="O31" s="41"/>
      <c r="P31" s="43"/>
      <c r="Q31" s="30"/>
      <c r="R31" s="39" t="str">
        <f aca="false">IF(OR(E31="",F31="",E31=0),"",F31/(E31/3))</f>
        <v/>
      </c>
      <c r="S31" s="24" t="str">
        <f aca="false">IF(OR(D31="",K31="",D31=0),"",K31*12/D31)</f>
        <v/>
      </c>
      <c r="T31" s="24" t="str">
        <f aca="false">IF(OR(M31="",N31=""),"",IF(M31+N31=0,"",N31/(M31+N31)))</f>
        <v/>
      </c>
      <c r="U31" s="21" t="str">
        <f aca="false">IF(B31="","",COUNTIF('Past Flips'!$B$8:$B$307,B31)+COUNTIFS('Flip Candidates'!$B$8:$B$207,B31,'Flip Candidates'!$O$8:$O$207,"Likely flip"))</f>
        <v/>
      </c>
      <c r="V31" s="24" t="str">
        <f aca="false">IF(OR(U31="",E31="",E31=0),"",U31/(E31*4))</f>
        <v/>
      </c>
      <c r="W31" s="21" t="str">
        <f aca="false">IF(B31="","",COUNTIF('Listing Watch'!$B$8:$B$307,B31))</f>
        <v/>
      </c>
      <c r="X31" s="40" t="str">
        <f aca="false">IF(B31="","",HYPERLINK("https://www.redfin.com/zipcode/"&amp;B31&amp;"/housing-market","Redfin"))</f>
        <v/>
      </c>
      <c r="Y31" s="40" t="str">
        <f aca="false">IF(B31="","",HYPERLINK("https://data.census.gov/table/ACSDT5Y2024.B25032?g=860XX00US"&amp;B31,"B25032"))</f>
        <v/>
      </c>
      <c r="Z31" s="40" t="str">
        <f aca="false">IF(B31="","",HYPERLINK("https://censusreporter.org/profiles/86000US"&amp;B31&amp;"-"&amp;B31&amp;"/","Profile"))</f>
        <v/>
      </c>
    </row>
    <row r="32" customFormat="false" ht="15" hidden="false" customHeight="false" outlineLevel="0" collapsed="false">
      <c r="A32" s="30"/>
      <c r="B32" s="30"/>
      <c r="C32" s="30"/>
      <c r="D32" s="41"/>
      <c r="E32" s="27"/>
      <c r="F32" s="27"/>
      <c r="G32" s="27"/>
      <c r="H32" s="31"/>
      <c r="I32" s="31"/>
      <c r="J32" s="31"/>
      <c r="K32" s="41"/>
      <c r="L32" s="42"/>
      <c r="M32" s="27"/>
      <c r="N32" s="27"/>
      <c r="O32" s="41"/>
      <c r="P32" s="43"/>
      <c r="Q32" s="30"/>
      <c r="R32" s="39" t="str">
        <f aca="false">IF(OR(E32="",F32="",E32=0),"",F32/(E32/3))</f>
        <v/>
      </c>
      <c r="S32" s="24" t="str">
        <f aca="false">IF(OR(D32="",K32="",D32=0),"",K32*12/D32)</f>
        <v/>
      </c>
      <c r="T32" s="24" t="str">
        <f aca="false">IF(OR(M32="",N32=""),"",IF(M32+N32=0,"",N32/(M32+N32)))</f>
        <v/>
      </c>
      <c r="U32" s="21" t="str">
        <f aca="false">IF(B32="","",COUNTIF('Past Flips'!$B$8:$B$307,B32)+COUNTIFS('Flip Candidates'!$B$8:$B$207,B32,'Flip Candidates'!$O$8:$O$207,"Likely flip"))</f>
        <v/>
      </c>
      <c r="V32" s="24" t="str">
        <f aca="false">IF(OR(U32="",E32="",E32=0),"",U32/(E32*4))</f>
        <v/>
      </c>
      <c r="W32" s="21" t="str">
        <f aca="false">IF(B32="","",COUNTIF('Listing Watch'!$B$8:$B$307,B32))</f>
        <v/>
      </c>
      <c r="X32" s="40" t="str">
        <f aca="false">IF(B32="","",HYPERLINK("https://www.redfin.com/zipcode/"&amp;B32&amp;"/housing-market","Redfin"))</f>
        <v/>
      </c>
      <c r="Y32" s="40" t="str">
        <f aca="false">IF(B32="","",HYPERLINK("https://data.census.gov/table/ACSDT5Y2024.B25032?g=860XX00US"&amp;B32,"B25032"))</f>
        <v/>
      </c>
      <c r="Z32" s="40" t="str">
        <f aca="false">IF(B32="","",HYPERLINK("https://censusreporter.org/profiles/86000US"&amp;B32&amp;"-"&amp;B32&amp;"/","Profile"))</f>
        <v/>
      </c>
    </row>
    <row r="33" customFormat="false" ht="15" hidden="false" customHeight="false" outlineLevel="0" collapsed="false">
      <c r="A33" s="30"/>
      <c r="B33" s="30"/>
      <c r="C33" s="30"/>
      <c r="D33" s="41"/>
      <c r="E33" s="27"/>
      <c r="F33" s="27"/>
      <c r="G33" s="27"/>
      <c r="H33" s="31"/>
      <c r="I33" s="31"/>
      <c r="J33" s="31"/>
      <c r="K33" s="41"/>
      <c r="L33" s="42"/>
      <c r="M33" s="27"/>
      <c r="N33" s="27"/>
      <c r="O33" s="41"/>
      <c r="P33" s="43"/>
      <c r="Q33" s="30"/>
      <c r="R33" s="39" t="str">
        <f aca="false">IF(OR(E33="",F33="",E33=0),"",F33/(E33/3))</f>
        <v/>
      </c>
      <c r="S33" s="24" t="str">
        <f aca="false">IF(OR(D33="",K33="",D33=0),"",K33*12/D33)</f>
        <v/>
      </c>
      <c r="T33" s="24" t="str">
        <f aca="false">IF(OR(M33="",N33=""),"",IF(M33+N33=0,"",N33/(M33+N33)))</f>
        <v/>
      </c>
      <c r="U33" s="21" t="str">
        <f aca="false">IF(B33="","",COUNTIF('Past Flips'!$B$8:$B$307,B33)+COUNTIFS('Flip Candidates'!$B$8:$B$207,B33,'Flip Candidates'!$O$8:$O$207,"Likely flip"))</f>
        <v/>
      </c>
      <c r="V33" s="24" t="str">
        <f aca="false">IF(OR(U33="",E33="",E33=0),"",U33/(E33*4))</f>
        <v/>
      </c>
      <c r="W33" s="21" t="str">
        <f aca="false">IF(B33="","",COUNTIF('Listing Watch'!$B$8:$B$307,B33))</f>
        <v/>
      </c>
      <c r="X33" s="40" t="str">
        <f aca="false">IF(B33="","",HYPERLINK("https://www.redfin.com/zipcode/"&amp;B33&amp;"/housing-market","Redfin"))</f>
        <v/>
      </c>
      <c r="Y33" s="40" t="str">
        <f aca="false">IF(B33="","",HYPERLINK("https://data.census.gov/table/ACSDT5Y2024.B25032?g=860XX00US"&amp;B33,"B25032"))</f>
        <v/>
      </c>
      <c r="Z33" s="40" t="str">
        <f aca="false">IF(B33="","",HYPERLINK("https://censusreporter.org/profiles/86000US"&amp;B33&amp;"-"&amp;B33&amp;"/","Profile"))</f>
        <v/>
      </c>
    </row>
    <row r="34" customFormat="false" ht="15" hidden="false" customHeight="false" outlineLevel="0" collapsed="false">
      <c r="A34" s="30"/>
      <c r="B34" s="30"/>
      <c r="C34" s="30"/>
      <c r="D34" s="41"/>
      <c r="E34" s="27"/>
      <c r="F34" s="27"/>
      <c r="G34" s="27"/>
      <c r="H34" s="31"/>
      <c r="I34" s="31"/>
      <c r="J34" s="31"/>
      <c r="K34" s="41"/>
      <c r="L34" s="42"/>
      <c r="M34" s="27"/>
      <c r="N34" s="27"/>
      <c r="O34" s="41"/>
      <c r="P34" s="43"/>
      <c r="Q34" s="30"/>
      <c r="R34" s="39" t="str">
        <f aca="false">IF(OR(E34="",F34="",E34=0),"",F34/(E34/3))</f>
        <v/>
      </c>
      <c r="S34" s="24" t="str">
        <f aca="false">IF(OR(D34="",K34="",D34=0),"",K34*12/D34)</f>
        <v/>
      </c>
      <c r="T34" s="24" t="str">
        <f aca="false">IF(OR(M34="",N34=""),"",IF(M34+N34=0,"",N34/(M34+N34)))</f>
        <v/>
      </c>
      <c r="U34" s="21" t="str">
        <f aca="false">IF(B34="","",COUNTIF('Past Flips'!$B$8:$B$307,B34)+COUNTIFS('Flip Candidates'!$B$8:$B$207,B34,'Flip Candidates'!$O$8:$O$207,"Likely flip"))</f>
        <v/>
      </c>
      <c r="V34" s="24" t="str">
        <f aca="false">IF(OR(U34="",E34="",E34=0),"",U34/(E34*4))</f>
        <v/>
      </c>
      <c r="W34" s="21" t="str">
        <f aca="false">IF(B34="","",COUNTIF('Listing Watch'!$B$8:$B$307,B34))</f>
        <v/>
      </c>
      <c r="X34" s="40" t="str">
        <f aca="false">IF(B34="","",HYPERLINK("https://www.redfin.com/zipcode/"&amp;B34&amp;"/housing-market","Redfin"))</f>
        <v/>
      </c>
      <c r="Y34" s="40" t="str">
        <f aca="false">IF(B34="","",HYPERLINK("https://data.census.gov/table/ACSDT5Y2024.B25032?g=860XX00US"&amp;B34,"B25032"))</f>
        <v/>
      </c>
      <c r="Z34" s="40" t="str">
        <f aca="false">IF(B34="","",HYPERLINK("https://censusreporter.org/profiles/86000US"&amp;B34&amp;"-"&amp;B34&amp;"/","Profile"))</f>
        <v/>
      </c>
    </row>
    <row r="35" customFormat="false" ht="15" hidden="false" customHeight="false" outlineLevel="0" collapsed="false">
      <c r="A35" s="30"/>
      <c r="B35" s="30"/>
      <c r="C35" s="30"/>
      <c r="D35" s="41"/>
      <c r="E35" s="27"/>
      <c r="F35" s="27"/>
      <c r="G35" s="27"/>
      <c r="H35" s="31"/>
      <c r="I35" s="31"/>
      <c r="J35" s="31"/>
      <c r="K35" s="41"/>
      <c r="L35" s="42"/>
      <c r="M35" s="27"/>
      <c r="N35" s="27"/>
      <c r="O35" s="41"/>
      <c r="P35" s="43"/>
      <c r="Q35" s="30"/>
      <c r="R35" s="39" t="str">
        <f aca="false">IF(OR(E35="",F35="",E35=0),"",F35/(E35/3))</f>
        <v/>
      </c>
      <c r="S35" s="24" t="str">
        <f aca="false">IF(OR(D35="",K35="",D35=0),"",K35*12/D35)</f>
        <v/>
      </c>
      <c r="T35" s="24" t="str">
        <f aca="false">IF(OR(M35="",N35=""),"",IF(M35+N35=0,"",N35/(M35+N35)))</f>
        <v/>
      </c>
      <c r="U35" s="21" t="str">
        <f aca="false">IF(B35="","",COUNTIF('Past Flips'!$B$8:$B$307,B35)+COUNTIFS('Flip Candidates'!$B$8:$B$207,B35,'Flip Candidates'!$O$8:$O$207,"Likely flip"))</f>
        <v/>
      </c>
      <c r="V35" s="24" t="str">
        <f aca="false">IF(OR(U35="",E35="",E35=0),"",U35/(E35*4))</f>
        <v/>
      </c>
      <c r="W35" s="21" t="str">
        <f aca="false">IF(B35="","",COUNTIF('Listing Watch'!$B$8:$B$307,B35))</f>
        <v/>
      </c>
      <c r="X35" s="40" t="str">
        <f aca="false">IF(B35="","",HYPERLINK("https://www.redfin.com/zipcode/"&amp;B35&amp;"/housing-market","Redfin"))</f>
        <v/>
      </c>
      <c r="Y35" s="40" t="str">
        <f aca="false">IF(B35="","",HYPERLINK("https://data.census.gov/table/ACSDT5Y2024.B25032?g=860XX00US"&amp;B35,"B25032"))</f>
        <v/>
      </c>
      <c r="Z35" s="40" t="str">
        <f aca="false">IF(B35="","",HYPERLINK("https://censusreporter.org/profiles/86000US"&amp;B35&amp;"-"&amp;B35&amp;"/","Profile"))</f>
        <v/>
      </c>
    </row>
    <row r="36" customFormat="false" ht="15" hidden="false" customHeight="false" outlineLevel="0" collapsed="false">
      <c r="A36" s="30"/>
      <c r="B36" s="30"/>
      <c r="C36" s="30"/>
      <c r="D36" s="41"/>
      <c r="E36" s="27"/>
      <c r="F36" s="27"/>
      <c r="G36" s="27"/>
      <c r="H36" s="31"/>
      <c r="I36" s="31"/>
      <c r="J36" s="31"/>
      <c r="K36" s="41"/>
      <c r="L36" s="42"/>
      <c r="M36" s="27"/>
      <c r="N36" s="27"/>
      <c r="O36" s="41"/>
      <c r="P36" s="43"/>
      <c r="Q36" s="30"/>
      <c r="R36" s="39" t="str">
        <f aca="false">IF(OR(E36="",F36="",E36=0),"",F36/(E36/3))</f>
        <v/>
      </c>
      <c r="S36" s="24" t="str">
        <f aca="false">IF(OR(D36="",K36="",D36=0),"",K36*12/D36)</f>
        <v/>
      </c>
      <c r="T36" s="24" t="str">
        <f aca="false">IF(OR(M36="",N36=""),"",IF(M36+N36=0,"",N36/(M36+N36)))</f>
        <v/>
      </c>
      <c r="U36" s="21" t="str">
        <f aca="false">IF(B36="","",COUNTIF('Past Flips'!$B$8:$B$307,B36)+COUNTIFS('Flip Candidates'!$B$8:$B$207,B36,'Flip Candidates'!$O$8:$O$207,"Likely flip"))</f>
        <v/>
      </c>
      <c r="V36" s="24" t="str">
        <f aca="false">IF(OR(U36="",E36="",E36=0),"",U36/(E36*4))</f>
        <v/>
      </c>
      <c r="W36" s="21" t="str">
        <f aca="false">IF(B36="","",COUNTIF('Listing Watch'!$B$8:$B$307,B36))</f>
        <v/>
      </c>
      <c r="X36" s="40" t="str">
        <f aca="false">IF(B36="","",HYPERLINK("https://www.redfin.com/zipcode/"&amp;B36&amp;"/housing-market","Redfin"))</f>
        <v/>
      </c>
      <c r="Y36" s="40" t="str">
        <f aca="false">IF(B36="","",HYPERLINK("https://data.census.gov/table/ACSDT5Y2024.B25032?g=860XX00US"&amp;B36,"B25032"))</f>
        <v/>
      </c>
      <c r="Z36" s="40" t="str">
        <f aca="false">IF(B36="","",HYPERLINK("https://censusreporter.org/profiles/86000US"&amp;B36&amp;"-"&amp;B36&amp;"/","Profile"))</f>
        <v/>
      </c>
    </row>
    <row r="37" customFormat="false" ht="15" hidden="false" customHeight="false" outlineLevel="0" collapsed="false">
      <c r="A37" s="30"/>
      <c r="B37" s="30"/>
      <c r="C37" s="30"/>
      <c r="D37" s="41"/>
      <c r="E37" s="27"/>
      <c r="F37" s="27"/>
      <c r="G37" s="27"/>
      <c r="H37" s="31"/>
      <c r="I37" s="31"/>
      <c r="J37" s="31"/>
      <c r="K37" s="41"/>
      <c r="L37" s="42"/>
      <c r="M37" s="27"/>
      <c r="N37" s="27"/>
      <c r="O37" s="41"/>
      <c r="P37" s="43"/>
      <c r="Q37" s="30"/>
      <c r="R37" s="39" t="str">
        <f aca="false">IF(OR(E37="",F37="",E37=0),"",F37/(E37/3))</f>
        <v/>
      </c>
      <c r="S37" s="24" t="str">
        <f aca="false">IF(OR(D37="",K37="",D37=0),"",K37*12/D37)</f>
        <v/>
      </c>
      <c r="T37" s="24" t="str">
        <f aca="false">IF(OR(M37="",N37=""),"",IF(M37+N37=0,"",N37/(M37+N37)))</f>
        <v/>
      </c>
      <c r="U37" s="21" t="str">
        <f aca="false">IF(B37="","",COUNTIF('Past Flips'!$B$8:$B$307,B37)+COUNTIFS('Flip Candidates'!$B$8:$B$207,B37,'Flip Candidates'!$O$8:$O$207,"Likely flip"))</f>
        <v/>
      </c>
      <c r="V37" s="24" t="str">
        <f aca="false">IF(OR(U37="",E37="",E37=0),"",U37/(E37*4))</f>
        <v/>
      </c>
      <c r="W37" s="21" t="str">
        <f aca="false">IF(B37="","",COUNTIF('Listing Watch'!$B$8:$B$307,B37))</f>
        <v/>
      </c>
      <c r="X37" s="40" t="str">
        <f aca="false">IF(B37="","",HYPERLINK("https://www.redfin.com/zipcode/"&amp;B37&amp;"/housing-market","Redfin"))</f>
        <v/>
      </c>
      <c r="Y37" s="40" t="str">
        <f aca="false">IF(B37="","",HYPERLINK("https://data.census.gov/table/ACSDT5Y2024.B25032?g=860XX00US"&amp;B37,"B25032"))</f>
        <v/>
      </c>
      <c r="Z37" s="40" t="str">
        <f aca="false">IF(B37="","",HYPERLINK("https://censusreporter.org/profiles/86000US"&amp;B37&amp;"-"&amp;B37&amp;"/","Profile"))</f>
        <v/>
      </c>
    </row>
    <row r="38" customFormat="false" ht="15" hidden="false" customHeight="false" outlineLevel="0" collapsed="false">
      <c r="A38" s="30"/>
      <c r="B38" s="30"/>
      <c r="C38" s="30"/>
      <c r="D38" s="41"/>
      <c r="E38" s="27"/>
      <c r="F38" s="27"/>
      <c r="G38" s="27"/>
      <c r="H38" s="31"/>
      <c r="I38" s="31"/>
      <c r="J38" s="31"/>
      <c r="K38" s="41"/>
      <c r="L38" s="42"/>
      <c r="M38" s="27"/>
      <c r="N38" s="27"/>
      <c r="O38" s="41"/>
      <c r="P38" s="43"/>
      <c r="Q38" s="30"/>
      <c r="R38" s="39" t="str">
        <f aca="false">IF(OR(E38="",F38="",E38=0),"",F38/(E38/3))</f>
        <v/>
      </c>
      <c r="S38" s="24" t="str">
        <f aca="false">IF(OR(D38="",K38="",D38=0),"",K38*12/D38)</f>
        <v/>
      </c>
      <c r="T38" s="24" t="str">
        <f aca="false">IF(OR(M38="",N38=""),"",IF(M38+N38=0,"",N38/(M38+N38)))</f>
        <v/>
      </c>
      <c r="U38" s="21" t="str">
        <f aca="false">IF(B38="","",COUNTIF('Past Flips'!$B$8:$B$307,B38)+COUNTIFS('Flip Candidates'!$B$8:$B$207,B38,'Flip Candidates'!$O$8:$O$207,"Likely flip"))</f>
        <v/>
      </c>
      <c r="V38" s="24" t="str">
        <f aca="false">IF(OR(U38="",E38="",E38=0),"",U38/(E38*4))</f>
        <v/>
      </c>
      <c r="W38" s="21" t="str">
        <f aca="false">IF(B38="","",COUNTIF('Listing Watch'!$B$8:$B$307,B38))</f>
        <v/>
      </c>
      <c r="X38" s="40" t="str">
        <f aca="false">IF(B38="","",HYPERLINK("https://www.redfin.com/zipcode/"&amp;B38&amp;"/housing-market","Redfin"))</f>
        <v/>
      </c>
      <c r="Y38" s="40" t="str">
        <f aca="false">IF(B38="","",HYPERLINK("https://data.census.gov/table/ACSDT5Y2024.B25032?g=860XX00US"&amp;B38,"B25032"))</f>
        <v/>
      </c>
      <c r="Z38" s="40" t="str">
        <f aca="false">IF(B38="","",HYPERLINK("https://censusreporter.org/profiles/86000US"&amp;B38&amp;"-"&amp;B38&amp;"/","Profile"))</f>
        <v/>
      </c>
    </row>
    <row r="39" customFormat="false" ht="15" hidden="false" customHeight="false" outlineLevel="0" collapsed="false">
      <c r="A39" s="30"/>
      <c r="B39" s="30"/>
      <c r="C39" s="30"/>
      <c r="D39" s="41"/>
      <c r="E39" s="27"/>
      <c r="F39" s="27"/>
      <c r="G39" s="27"/>
      <c r="H39" s="31"/>
      <c r="I39" s="31"/>
      <c r="J39" s="31"/>
      <c r="K39" s="41"/>
      <c r="L39" s="42"/>
      <c r="M39" s="27"/>
      <c r="N39" s="27"/>
      <c r="O39" s="41"/>
      <c r="P39" s="43"/>
      <c r="Q39" s="30"/>
      <c r="R39" s="39" t="str">
        <f aca="false">IF(OR(E39="",F39="",E39=0),"",F39/(E39/3))</f>
        <v/>
      </c>
      <c r="S39" s="24" t="str">
        <f aca="false">IF(OR(D39="",K39="",D39=0),"",K39*12/D39)</f>
        <v/>
      </c>
      <c r="T39" s="24" t="str">
        <f aca="false">IF(OR(M39="",N39=""),"",IF(M39+N39=0,"",N39/(M39+N39)))</f>
        <v/>
      </c>
      <c r="U39" s="21" t="str">
        <f aca="false">IF(B39="","",COUNTIF('Past Flips'!$B$8:$B$307,B39)+COUNTIFS('Flip Candidates'!$B$8:$B$207,B39,'Flip Candidates'!$O$8:$O$207,"Likely flip"))</f>
        <v/>
      </c>
      <c r="V39" s="24" t="str">
        <f aca="false">IF(OR(U39="",E39="",E39=0),"",U39/(E39*4))</f>
        <v/>
      </c>
      <c r="W39" s="21" t="str">
        <f aca="false">IF(B39="","",COUNTIF('Listing Watch'!$B$8:$B$307,B39))</f>
        <v/>
      </c>
      <c r="X39" s="40" t="str">
        <f aca="false">IF(B39="","",HYPERLINK("https://www.redfin.com/zipcode/"&amp;B39&amp;"/housing-market","Redfin"))</f>
        <v/>
      </c>
      <c r="Y39" s="40" t="str">
        <f aca="false">IF(B39="","",HYPERLINK("https://data.census.gov/table/ACSDT5Y2024.B25032?g=860XX00US"&amp;B39,"B25032"))</f>
        <v/>
      </c>
      <c r="Z39" s="40" t="str">
        <f aca="false">IF(B39="","",HYPERLINK("https://censusreporter.org/profiles/86000US"&amp;B39&amp;"-"&amp;B39&amp;"/","Profile"))</f>
        <v/>
      </c>
    </row>
    <row r="40" customFormat="false" ht="15" hidden="false" customHeight="false" outlineLevel="0" collapsed="false">
      <c r="A40" s="30"/>
      <c r="B40" s="30"/>
      <c r="C40" s="30"/>
      <c r="D40" s="41"/>
      <c r="E40" s="27"/>
      <c r="F40" s="27"/>
      <c r="G40" s="27"/>
      <c r="H40" s="31"/>
      <c r="I40" s="31"/>
      <c r="J40" s="31"/>
      <c r="K40" s="41"/>
      <c r="L40" s="42"/>
      <c r="M40" s="27"/>
      <c r="N40" s="27"/>
      <c r="O40" s="41"/>
      <c r="P40" s="43"/>
      <c r="Q40" s="30"/>
      <c r="R40" s="39" t="str">
        <f aca="false">IF(OR(E40="",F40="",E40=0),"",F40/(E40/3))</f>
        <v/>
      </c>
      <c r="S40" s="24" t="str">
        <f aca="false">IF(OR(D40="",K40="",D40=0),"",K40*12/D40)</f>
        <v/>
      </c>
      <c r="T40" s="24" t="str">
        <f aca="false">IF(OR(M40="",N40=""),"",IF(M40+N40=0,"",N40/(M40+N40)))</f>
        <v/>
      </c>
      <c r="U40" s="21" t="str">
        <f aca="false">IF(B40="","",COUNTIF('Past Flips'!$B$8:$B$307,B40)+COUNTIFS('Flip Candidates'!$B$8:$B$207,B40,'Flip Candidates'!$O$8:$O$207,"Likely flip"))</f>
        <v/>
      </c>
      <c r="V40" s="24" t="str">
        <f aca="false">IF(OR(U40="",E40="",E40=0),"",U40/(E40*4))</f>
        <v/>
      </c>
      <c r="W40" s="21" t="str">
        <f aca="false">IF(B40="","",COUNTIF('Listing Watch'!$B$8:$B$307,B40))</f>
        <v/>
      </c>
      <c r="X40" s="40" t="str">
        <f aca="false">IF(B40="","",HYPERLINK("https://www.redfin.com/zipcode/"&amp;B40&amp;"/housing-market","Redfin"))</f>
        <v/>
      </c>
      <c r="Y40" s="40" t="str">
        <f aca="false">IF(B40="","",HYPERLINK("https://data.census.gov/table/ACSDT5Y2024.B25032?g=860XX00US"&amp;B40,"B25032"))</f>
        <v/>
      </c>
      <c r="Z40" s="40" t="str">
        <f aca="false">IF(B40="","",HYPERLINK("https://censusreporter.org/profiles/86000US"&amp;B40&amp;"-"&amp;B40&amp;"/","Profile"))</f>
        <v/>
      </c>
    </row>
    <row r="41" customFormat="false" ht="15" hidden="false" customHeight="false" outlineLevel="0" collapsed="false">
      <c r="A41" s="30"/>
      <c r="B41" s="30"/>
      <c r="C41" s="30"/>
      <c r="D41" s="41"/>
      <c r="E41" s="27"/>
      <c r="F41" s="27"/>
      <c r="G41" s="27"/>
      <c r="H41" s="31"/>
      <c r="I41" s="31"/>
      <c r="J41" s="31"/>
      <c r="K41" s="41"/>
      <c r="L41" s="42"/>
      <c r="M41" s="27"/>
      <c r="N41" s="27"/>
      <c r="O41" s="41"/>
      <c r="P41" s="43"/>
      <c r="Q41" s="30"/>
      <c r="R41" s="39" t="str">
        <f aca="false">IF(OR(E41="",F41="",E41=0),"",F41/(E41/3))</f>
        <v/>
      </c>
      <c r="S41" s="24" t="str">
        <f aca="false">IF(OR(D41="",K41="",D41=0),"",K41*12/D41)</f>
        <v/>
      </c>
      <c r="T41" s="24" t="str">
        <f aca="false">IF(OR(M41="",N41=""),"",IF(M41+N41=0,"",N41/(M41+N41)))</f>
        <v/>
      </c>
      <c r="U41" s="21" t="str">
        <f aca="false">IF(B41="","",COUNTIF('Past Flips'!$B$8:$B$307,B41)+COUNTIFS('Flip Candidates'!$B$8:$B$207,B41,'Flip Candidates'!$O$8:$O$207,"Likely flip"))</f>
        <v/>
      </c>
      <c r="V41" s="24" t="str">
        <f aca="false">IF(OR(U41="",E41="",E41=0),"",U41/(E41*4))</f>
        <v/>
      </c>
      <c r="W41" s="21" t="str">
        <f aca="false">IF(B41="","",COUNTIF('Listing Watch'!$B$8:$B$307,B41))</f>
        <v/>
      </c>
      <c r="X41" s="40" t="str">
        <f aca="false">IF(B41="","",HYPERLINK("https://www.redfin.com/zipcode/"&amp;B41&amp;"/housing-market","Redfin"))</f>
        <v/>
      </c>
      <c r="Y41" s="40" t="str">
        <f aca="false">IF(B41="","",HYPERLINK("https://data.census.gov/table/ACSDT5Y2024.B25032?g=860XX00US"&amp;B41,"B25032"))</f>
        <v/>
      </c>
      <c r="Z41" s="40" t="str">
        <f aca="false">IF(B41="","",HYPERLINK("https://censusreporter.org/profiles/86000US"&amp;B41&amp;"-"&amp;B41&amp;"/","Profile"))</f>
        <v/>
      </c>
    </row>
    <row r="42" customFormat="false" ht="15" hidden="false" customHeight="false" outlineLevel="0" collapsed="false">
      <c r="A42" s="30"/>
      <c r="B42" s="30"/>
      <c r="C42" s="30"/>
      <c r="D42" s="41"/>
      <c r="E42" s="27"/>
      <c r="F42" s="27"/>
      <c r="G42" s="27"/>
      <c r="H42" s="31"/>
      <c r="I42" s="31"/>
      <c r="J42" s="31"/>
      <c r="K42" s="41"/>
      <c r="L42" s="42"/>
      <c r="M42" s="27"/>
      <c r="N42" s="27"/>
      <c r="O42" s="41"/>
      <c r="P42" s="43"/>
      <c r="Q42" s="30"/>
      <c r="R42" s="39" t="str">
        <f aca="false">IF(OR(E42="",F42="",E42=0),"",F42/(E42/3))</f>
        <v/>
      </c>
      <c r="S42" s="24" t="str">
        <f aca="false">IF(OR(D42="",K42="",D42=0),"",K42*12/D42)</f>
        <v/>
      </c>
      <c r="T42" s="24" t="str">
        <f aca="false">IF(OR(M42="",N42=""),"",IF(M42+N42=0,"",N42/(M42+N42)))</f>
        <v/>
      </c>
      <c r="U42" s="21" t="str">
        <f aca="false">IF(B42="","",COUNTIF('Past Flips'!$B$8:$B$307,B42)+COUNTIFS('Flip Candidates'!$B$8:$B$207,B42,'Flip Candidates'!$O$8:$O$207,"Likely flip"))</f>
        <v/>
      </c>
      <c r="V42" s="24" t="str">
        <f aca="false">IF(OR(U42="",E42="",E42=0),"",U42/(E42*4))</f>
        <v/>
      </c>
      <c r="W42" s="21" t="str">
        <f aca="false">IF(B42="","",COUNTIF('Listing Watch'!$B$8:$B$307,B42))</f>
        <v/>
      </c>
      <c r="X42" s="40" t="str">
        <f aca="false">IF(B42="","",HYPERLINK("https://www.redfin.com/zipcode/"&amp;B42&amp;"/housing-market","Redfin"))</f>
        <v/>
      </c>
      <c r="Y42" s="40" t="str">
        <f aca="false">IF(B42="","",HYPERLINK("https://data.census.gov/table/ACSDT5Y2024.B25032?g=860XX00US"&amp;B42,"B25032"))</f>
        <v/>
      </c>
      <c r="Z42" s="40" t="str">
        <f aca="false">IF(B42="","",HYPERLINK("https://censusreporter.org/profiles/86000US"&amp;B42&amp;"-"&amp;B42&amp;"/","Profile"))</f>
        <v/>
      </c>
    </row>
    <row r="43" customFormat="false" ht="15" hidden="false" customHeight="false" outlineLevel="0" collapsed="false">
      <c r="A43" s="30"/>
      <c r="B43" s="30"/>
      <c r="C43" s="30"/>
      <c r="D43" s="41"/>
      <c r="E43" s="27"/>
      <c r="F43" s="27"/>
      <c r="G43" s="27"/>
      <c r="H43" s="31"/>
      <c r="I43" s="31"/>
      <c r="J43" s="31"/>
      <c r="K43" s="41"/>
      <c r="L43" s="42"/>
      <c r="M43" s="27"/>
      <c r="N43" s="27"/>
      <c r="O43" s="41"/>
      <c r="P43" s="43"/>
      <c r="Q43" s="30"/>
      <c r="R43" s="39" t="str">
        <f aca="false">IF(OR(E43="",F43="",E43=0),"",F43/(E43/3))</f>
        <v/>
      </c>
      <c r="S43" s="24" t="str">
        <f aca="false">IF(OR(D43="",K43="",D43=0),"",K43*12/D43)</f>
        <v/>
      </c>
      <c r="T43" s="24" t="str">
        <f aca="false">IF(OR(M43="",N43=""),"",IF(M43+N43=0,"",N43/(M43+N43)))</f>
        <v/>
      </c>
      <c r="U43" s="21" t="str">
        <f aca="false">IF(B43="","",COUNTIF('Past Flips'!$B$8:$B$307,B43)+COUNTIFS('Flip Candidates'!$B$8:$B$207,B43,'Flip Candidates'!$O$8:$O$207,"Likely flip"))</f>
        <v/>
      </c>
      <c r="V43" s="24" t="str">
        <f aca="false">IF(OR(U43="",E43="",E43=0),"",U43/(E43*4))</f>
        <v/>
      </c>
      <c r="W43" s="21" t="str">
        <f aca="false">IF(B43="","",COUNTIF('Listing Watch'!$B$8:$B$307,B43))</f>
        <v/>
      </c>
      <c r="X43" s="40" t="str">
        <f aca="false">IF(B43="","",HYPERLINK("https://www.redfin.com/zipcode/"&amp;B43&amp;"/housing-market","Redfin"))</f>
        <v/>
      </c>
      <c r="Y43" s="40" t="str">
        <f aca="false">IF(B43="","",HYPERLINK("https://data.census.gov/table/ACSDT5Y2024.B25032?g=860XX00US"&amp;B43,"B25032"))</f>
        <v/>
      </c>
      <c r="Z43" s="40" t="str">
        <f aca="false">IF(B43="","",HYPERLINK("https://censusreporter.org/profiles/86000US"&amp;B43&amp;"-"&amp;B43&amp;"/","Profile"))</f>
        <v/>
      </c>
    </row>
    <row r="44" customFormat="false" ht="15" hidden="false" customHeight="false" outlineLevel="0" collapsed="false">
      <c r="A44" s="30"/>
      <c r="B44" s="30"/>
      <c r="C44" s="30"/>
      <c r="D44" s="41"/>
      <c r="E44" s="27"/>
      <c r="F44" s="27"/>
      <c r="G44" s="27"/>
      <c r="H44" s="31"/>
      <c r="I44" s="31"/>
      <c r="J44" s="31"/>
      <c r="K44" s="41"/>
      <c r="L44" s="42"/>
      <c r="M44" s="27"/>
      <c r="N44" s="27"/>
      <c r="O44" s="41"/>
      <c r="P44" s="43"/>
      <c r="Q44" s="30"/>
      <c r="R44" s="39" t="str">
        <f aca="false">IF(OR(E44="",F44="",E44=0),"",F44/(E44/3))</f>
        <v/>
      </c>
      <c r="S44" s="24" t="str">
        <f aca="false">IF(OR(D44="",K44="",D44=0),"",K44*12/D44)</f>
        <v/>
      </c>
      <c r="T44" s="24" t="str">
        <f aca="false">IF(OR(M44="",N44=""),"",IF(M44+N44=0,"",N44/(M44+N44)))</f>
        <v/>
      </c>
      <c r="U44" s="21" t="str">
        <f aca="false">IF(B44="","",COUNTIF('Past Flips'!$B$8:$B$307,B44)+COUNTIFS('Flip Candidates'!$B$8:$B$207,B44,'Flip Candidates'!$O$8:$O$207,"Likely flip"))</f>
        <v/>
      </c>
      <c r="V44" s="24" t="str">
        <f aca="false">IF(OR(U44="",E44="",E44=0),"",U44/(E44*4))</f>
        <v/>
      </c>
      <c r="W44" s="21" t="str">
        <f aca="false">IF(B44="","",COUNTIF('Listing Watch'!$B$8:$B$307,B44))</f>
        <v/>
      </c>
      <c r="X44" s="40" t="str">
        <f aca="false">IF(B44="","",HYPERLINK("https://www.redfin.com/zipcode/"&amp;B44&amp;"/housing-market","Redfin"))</f>
        <v/>
      </c>
      <c r="Y44" s="40" t="str">
        <f aca="false">IF(B44="","",HYPERLINK("https://data.census.gov/table/ACSDT5Y2024.B25032?g=860XX00US"&amp;B44,"B25032"))</f>
        <v/>
      </c>
      <c r="Z44" s="40" t="str">
        <f aca="false">IF(B44="","",HYPERLINK("https://censusreporter.org/profiles/86000US"&amp;B44&amp;"-"&amp;B44&amp;"/","Profile"))</f>
        <v/>
      </c>
    </row>
    <row r="45" customFormat="false" ht="15" hidden="false" customHeight="false" outlineLevel="0" collapsed="false">
      <c r="A45" s="30"/>
      <c r="B45" s="30"/>
      <c r="C45" s="30"/>
      <c r="D45" s="41"/>
      <c r="E45" s="27"/>
      <c r="F45" s="27"/>
      <c r="G45" s="27"/>
      <c r="H45" s="31"/>
      <c r="I45" s="31"/>
      <c r="J45" s="31"/>
      <c r="K45" s="41"/>
      <c r="L45" s="42"/>
      <c r="M45" s="27"/>
      <c r="N45" s="27"/>
      <c r="O45" s="41"/>
      <c r="P45" s="43"/>
      <c r="Q45" s="30"/>
      <c r="R45" s="39" t="str">
        <f aca="false">IF(OR(E45="",F45="",E45=0),"",F45/(E45/3))</f>
        <v/>
      </c>
      <c r="S45" s="24" t="str">
        <f aca="false">IF(OR(D45="",K45="",D45=0),"",K45*12/D45)</f>
        <v/>
      </c>
      <c r="T45" s="24" t="str">
        <f aca="false">IF(OR(M45="",N45=""),"",IF(M45+N45=0,"",N45/(M45+N45)))</f>
        <v/>
      </c>
      <c r="U45" s="21" t="str">
        <f aca="false">IF(B45="","",COUNTIF('Past Flips'!$B$8:$B$307,B45)+COUNTIFS('Flip Candidates'!$B$8:$B$207,B45,'Flip Candidates'!$O$8:$O$207,"Likely flip"))</f>
        <v/>
      </c>
      <c r="V45" s="24" t="str">
        <f aca="false">IF(OR(U45="",E45="",E45=0),"",U45/(E45*4))</f>
        <v/>
      </c>
      <c r="W45" s="21" t="str">
        <f aca="false">IF(B45="","",COUNTIF('Listing Watch'!$B$8:$B$307,B45))</f>
        <v/>
      </c>
      <c r="X45" s="40" t="str">
        <f aca="false">IF(B45="","",HYPERLINK("https://www.redfin.com/zipcode/"&amp;B45&amp;"/housing-market","Redfin"))</f>
        <v/>
      </c>
      <c r="Y45" s="40" t="str">
        <f aca="false">IF(B45="","",HYPERLINK("https://data.census.gov/table/ACSDT5Y2024.B25032?g=860XX00US"&amp;B45,"B25032"))</f>
        <v/>
      </c>
      <c r="Z45" s="40" t="str">
        <f aca="false">IF(B45="","",HYPERLINK("https://censusreporter.org/profiles/86000US"&amp;B45&amp;"-"&amp;B45&amp;"/","Profile"))</f>
        <v/>
      </c>
    </row>
    <row r="46" customFormat="false" ht="15" hidden="false" customHeight="false" outlineLevel="0" collapsed="false">
      <c r="A46" s="30"/>
      <c r="B46" s="30"/>
      <c r="C46" s="30"/>
      <c r="D46" s="41"/>
      <c r="E46" s="27"/>
      <c r="F46" s="27"/>
      <c r="G46" s="27"/>
      <c r="H46" s="31"/>
      <c r="I46" s="31"/>
      <c r="J46" s="31"/>
      <c r="K46" s="41"/>
      <c r="L46" s="42"/>
      <c r="M46" s="27"/>
      <c r="N46" s="27"/>
      <c r="O46" s="41"/>
      <c r="P46" s="43"/>
      <c r="Q46" s="30"/>
      <c r="R46" s="39" t="str">
        <f aca="false">IF(OR(E46="",F46="",E46=0),"",F46/(E46/3))</f>
        <v/>
      </c>
      <c r="S46" s="24" t="str">
        <f aca="false">IF(OR(D46="",K46="",D46=0),"",K46*12/D46)</f>
        <v/>
      </c>
      <c r="T46" s="24" t="str">
        <f aca="false">IF(OR(M46="",N46=""),"",IF(M46+N46=0,"",N46/(M46+N46)))</f>
        <v/>
      </c>
      <c r="U46" s="21" t="str">
        <f aca="false">IF(B46="","",COUNTIF('Past Flips'!$B$8:$B$307,B46)+COUNTIFS('Flip Candidates'!$B$8:$B$207,B46,'Flip Candidates'!$O$8:$O$207,"Likely flip"))</f>
        <v/>
      </c>
      <c r="V46" s="24" t="str">
        <f aca="false">IF(OR(U46="",E46="",E46=0),"",U46/(E46*4))</f>
        <v/>
      </c>
      <c r="W46" s="21" t="str">
        <f aca="false">IF(B46="","",COUNTIF('Listing Watch'!$B$8:$B$307,B46))</f>
        <v/>
      </c>
      <c r="X46" s="40" t="str">
        <f aca="false">IF(B46="","",HYPERLINK("https://www.redfin.com/zipcode/"&amp;B46&amp;"/housing-market","Redfin"))</f>
        <v/>
      </c>
      <c r="Y46" s="40" t="str">
        <f aca="false">IF(B46="","",HYPERLINK("https://data.census.gov/table/ACSDT5Y2024.B25032?g=860XX00US"&amp;B46,"B25032"))</f>
        <v/>
      </c>
      <c r="Z46" s="40" t="str">
        <f aca="false">IF(B46="","",HYPERLINK("https://censusreporter.org/profiles/86000US"&amp;B46&amp;"-"&amp;B46&amp;"/","Profile"))</f>
        <v/>
      </c>
    </row>
    <row r="47" customFormat="false" ht="15" hidden="false" customHeight="false" outlineLevel="0" collapsed="false">
      <c r="A47" s="30"/>
      <c r="B47" s="30"/>
      <c r="C47" s="30"/>
      <c r="D47" s="41"/>
      <c r="E47" s="27"/>
      <c r="F47" s="27"/>
      <c r="G47" s="27"/>
      <c r="H47" s="31"/>
      <c r="I47" s="31"/>
      <c r="J47" s="31"/>
      <c r="K47" s="41"/>
      <c r="L47" s="42"/>
      <c r="M47" s="27"/>
      <c r="N47" s="27"/>
      <c r="O47" s="41"/>
      <c r="P47" s="43"/>
      <c r="Q47" s="30"/>
      <c r="R47" s="39" t="str">
        <f aca="false">IF(OR(E47="",F47="",E47=0),"",F47/(E47/3))</f>
        <v/>
      </c>
      <c r="S47" s="24" t="str">
        <f aca="false">IF(OR(D47="",K47="",D47=0),"",K47*12/D47)</f>
        <v/>
      </c>
      <c r="T47" s="24" t="str">
        <f aca="false">IF(OR(M47="",N47=""),"",IF(M47+N47=0,"",N47/(M47+N47)))</f>
        <v/>
      </c>
      <c r="U47" s="21" t="str">
        <f aca="false">IF(B47="","",COUNTIF('Past Flips'!$B$8:$B$307,B47)+COUNTIFS('Flip Candidates'!$B$8:$B$207,B47,'Flip Candidates'!$O$8:$O$207,"Likely flip"))</f>
        <v/>
      </c>
      <c r="V47" s="24" t="str">
        <f aca="false">IF(OR(U47="",E47="",E47=0),"",U47/(E47*4))</f>
        <v/>
      </c>
      <c r="W47" s="21" t="str">
        <f aca="false">IF(B47="","",COUNTIF('Listing Watch'!$B$8:$B$307,B47))</f>
        <v/>
      </c>
      <c r="X47" s="40" t="str">
        <f aca="false">IF(B47="","",HYPERLINK("https://www.redfin.com/zipcode/"&amp;B47&amp;"/housing-market","Redfin"))</f>
        <v/>
      </c>
      <c r="Y47" s="40" t="str">
        <f aca="false">IF(B47="","",HYPERLINK("https://data.census.gov/table/ACSDT5Y2024.B25032?g=860XX00US"&amp;B47,"B25032"))</f>
        <v/>
      </c>
      <c r="Z47" s="40" t="str">
        <f aca="false">IF(B47="","",HYPERLINK("https://censusreporter.org/profiles/86000US"&amp;B47&amp;"-"&amp;B47&amp;"/","Profile"))</f>
        <v/>
      </c>
    </row>
    <row r="48" customFormat="false" ht="15" hidden="false" customHeight="false" outlineLevel="0" collapsed="false">
      <c r="A48" s="30"/>
      <c r="B48" s="30"/>
      <c r="C48" s="30"/>
      <c r="D48" s="41"/>
      <c r="E48" s="27"/>
      <c r="F48" s="27"/>
      <c r="G48" s="27"/>
      <c r="H48" s="31"/>
      <c r="I48" s="31"/>
      <c r="J48" s="31"/>
      <c r="K48" s="41"/>
      <c r="L48" s="42"/>
      <c r="M48" s="27"/>
      <c r="N48" s="27"/>
      <c r="O48" s="41"/>
      <c r="P48" s="43"/>
      <c r="Q48" s="30"/>
      <c r="R48" s="39" t="str">
        <f aca="false">IF(OR(E48="",F48="",E48=0),"",F48/(E48/3))</f>
        <v/>
      </c>
      <c r="S48" s="24" t="str">
        <f aca="false">IF(OR(D48="",K48="",D48=0),"",K48*12/D48)</f>
        <v/>
      </c>
      <c r="T48" s="24" t="str">
        <f aca="false">IF(OR(M48="",N48=""),"",IF(M48+N48=0,"",N48/(M48+N48)))</f>
        <v/>
      </c>
      <c r="U48" s="21" t="str">
        <f aca="false">IF(B48="","",COUNTIF('Past Flips'!$B$8:$B$307,B48)+COUNTIFS('Flip Candidates'!$B$8:$B$207,B48,'Flip Candidates'!$O$8:$O$207,"Likely flip"))</f>
        <v/>
      </c>
      <c r="V48" s="24" t="str">
        <f aca="false">IF(OR(U48="",E48="",E48=0),"",U48/(E48*4))</f>
        <v/>
      </c>
      <c r="W48" s="21" t="str">
        <f aca="false">IF(B48="","",COUNTIF('Listing Watch'!$B$8:$B$307,B48))</f>
        <v/>
      </c>
      <c r="X48" s="40" t="str">
        <f aca="false">IF(B48="","",HYPERLINK("https://www.redfin.com/zipcode/"&amp;B48&amp;"/housing-market","Redfin"))</f>
        <v/>
      </c>
      <c r="Y48" s="40" t="str">
        <f aca="false">IF(B48="","",HYPERLINK("https://data.census.gov/table/ACSDT5Y2024.B25032?g=860XX00US"&amp;B48,"B25032"))</f>
        <v/>
      </c>
      <c r="Z48" s="40" t="str">
        <f aca="false">IF(B48="","",HYPERLINK("https://censusreporter.org/profiles/86000US"&amp;B48&amp;"-"&amp;B48&amp;"/","Profile"))</f>
        <v/>
      </c>
    </row>
    <row r="49" customFormat="false" ht="15" hidden="false" customHeight="false" outlineLevel="0" collapsed="false">
      <c r="A49" s="30"/>
      <c r="B49" s="30"/>
      <c r="C49" s="30"/>
      <c r="D49" s="41"/>
      <c r="E49" s="27"/>
      <c r="F49" s="27"/>
      <c r="G49" s="27"/>
      <c r="H49" s="31"/>
      <c r="I49" s="31"/>
      <c r="J49" s="31"/>
      <c r="K49" s="41"/>
      <c r="L49" s="42"/>
      <c r="M49" s="27"/>
      <c r="N49" s="27"/>
      <c r="O49" s="41"/>
      <c r="P49" s="43"/>
      <c r="Q49" s="30"/>
      <c r="R49" s="39" t="str">
        <f aca="false">IF(OR(E49="",F49="",E49=0),"",F49/(E49/3))</f>
        <v/>
      </c>
      <c r="S49" s="24" t="str">
        <f aca="false">IF(OR(D49="",K49="",D49=0),"",K49*12/D49)</f>
        <v/>
      </c>
      <c r="T49" s="24" t="str">
        <f aca="false">IF(OR(M49="",N49=""),"",IF(M49+N49=0,"",N49/(M49+N49)))</f>
        <v/>
      </c>
      <c r="U49" s="21" t="str">
        <f aca="false">IF(B49="","",COUNTIF('Past Flips'!$B$8:$B$307,B49)+COUNTIFS('Flip Candidates'!$B$8:$B$207,B49,'Flip Candidates'!$O$8:$O$207,"Likely flip"))</f>
        <v/>
      </c>
      <c r="V49" s="24" t="str">
        <f aca="false">IF(OR(U49="",E49="",E49=0),"",U49/(E49*4))</f>
        <v/>
      </c>
      <c r="W49" s="21" t="str">
        <f aca="false">IF(B49="","",COUNTIF('Listing Watch'!$B$8:$B$307,B49))</f>
        <v/>
      </c>
      <c r="X49" s="40" t="str">
        <f aca="false">IF(B49="","",HYPERLINK("https://www.redfin.com/zipcode/"&amp;B49&amp;"/housing-market","Redfin"))</f>
        <v/>
      </c>
      <c r="Y49" s="40" t="str">
        <f aca="false">IF(B49="","",HYPERLINK("https://data.census.gov/table/ACSDT5Y2024.B25032?g=860XX00US"&amp;B49,"B25032"))</f>
        <v/>
      </c>
      <c r="Z49" s="40" t="str">
        <f aca="false">IF(B49="","",HYPERLINK("https://censusreporter.org/profiles/86000US"&amp;B49&amp;"-"&amp;B49&amp;"/","Profile"))</f>
        <v/>
      </c>
    </row>
    <row r="50" customFormat="false" ht="15" hidden="false" customHeight="false" outlineLevel="0" collapsed="false">
      <c r="A50" s="30"/>
      <c r="B50" s="30"/>
      <c r="C50" s="30"/>
      <c r="D50" s="41"/>
      <c r="E50" s="27"/>
      <c r="F50" s="27"/>
      <c r="G50" s="27"/>
      <c r="H50" s="31"/>
      <c r="I50" s="31"/>
      <c r="J50" s="31"/>
      <c r="K50" s="41"/>
      <c r="L50" s="42"/>
      <c r="M50" s="27"/>
      <c r="N50" s="27"/>
      <c r="O50" s="41"/>
      <c r="P50" s="43"/>
      <c r="Q50" s="30"/>
      <c r="R50" s="39" t="str">
        <f aca="false">IF(OR(E50="",F50="",E50=0),"",F50/(E50/3))</f>
        <v/>
      </c>
      <c r="S50" s="24" t="str">
        <f aca="false">IF(OR(D50="",K50="",D50=0),"",K50*12/D50)</f>
        <v/>
      </c>
      <c r="T50" s="24" t="str">
        <f aca="false">IF(OR(M50="",N50=""),"",IF(M50+N50=0,"",N50/(M50+N50)))</f>
        <v/>
      </c>
      <c r="U50" s="21" t="str">
        <f aca="false">IF(B50="","",COUNTIF('Past Flips'!$B$8:$B$307,B50)+COUNTIFS('Flip Candidates'!$B$8:$B$207,B50,'Flip Candidates'!$O$8:$O$207,"Likely flip"))</f>
        <v/>
      </c>
      <c r="V50" s="24" t="str">
        <f aca="false">IF(OR(U50="",E50="",E50=0),"",U50/(E50*4))</f>
        <v/>
      </c>
      <c r="W50" s="21" t="str">
        <f aca="false">IF(B50="","",COUNTIF('Listing Watch'!$B$8:$B$307,B50))</f>
        <v/>
      </c>
      <c r="X50" s="40" t="str">
        <f aca="false">IF(B50="","",HYPERLINK("https://www.redfin.com/zipcode/"&amp;B50&amp;"/housing-market","Redfin"))</f>
        <v/>
      </c>
      <c r="Y50" s="40" t="str">
        <f aca="false">IF(B50="","",HYPERLINK("https://data.census.gov/table/ACSDT5Y2024.B25032?g=860XX00US"&amp;B50,"B25032"))</f>
        <v/>
      </c>
      <c r="Z50" s="40" t="str">
        <f aca="false">IF(B50="","",HYPERLINK("https://censusreporter.org/profiles/86000US"&amp;B50&amp;"-"&amp;B50&amp;"/","Profile"))</f>
        <v/>
      </c>
    </row>
    <row r="51" customFormat="false" ht="15" hidden="false" customHeight="false" outlineLevel="0" collapsed="false">
      <c r="A51" s="30"/>
      <c r="B51" s="30"/>
      <c r="C51" s="30"/>
      <c r="D51" s="41"/>
      <c r="E51" s="27"/>
      <c r="F51" s="27"/>
      <c r="G51" s="27"/>
      <c r="H51" s="31"/>
      <c r="I51" s="31"/>
      <c r="J51" s="31"/>
      <c r="K51" s="41"/>
      <c r="L51" s="42"/>
      <c r="M51" s="27"/>
      <c r="N51" s="27"/>
      <c r="O51" s="41"/>
      <c r="P51" s="43"/>
      <c r="Q51" s="30"/>
      <c r="R51" s="39" t="str">
        <f aca="false">IF(OR(E51="",F51="",E51=0),"",F51/(E51/3))</f>
        <v/>
      </c>
      <c r="S51" s="24" t="str">
        <f aca="false">IF(OR(D51="",K51="",D51=0),"",K51*12/D51)</f>
        <v/>
      </c>
      <c r="T51" s="24" t="str">
        <f aca="false">IF(OR(M51="",N51=""),"",IF(M51+N51=0,"",N51/(M51+N51)))</f>
        <v/>
      </c>
      <c r="U51" s="21" t="str">
        <f aca="false">IF(B51="","",COUNTIF('Past Flips'!$B$8:$B$307,B51)+COUNTIFS('Flip Candidates'!$B$8:$B$207,B51,'Flip Candidates'!$O$8:$O$207,"Likely flip"))</f>
        <v/>
      </c>
      <c r="V51" s="24" t="str">
        <f aca="false">IF(OR(U51="",E51="",E51=0),"",U51/(E51*4))</f>
        <v/>
      </c>
      <c r="W51" s="21" t="str">
        <f aca="false">IF(B51="","",COUNTIF('Listing Watch'!$B$8:$B$307,B51))</f>
        <v/>
      </c>
      <c r="X51" s="40" t="str">
        <f aca="false">IF(B51="","",HYPERLINK("https://www.redfin.com/zipcode/"&amp;B51&amp;"/housing-market","Redfin"))</f>
        <v/>
      </c>
      <c r="Y51" s="40" t="str">
        <f aca="false">IF(B51="","",HYPERLINK("https://data.census.gov/table/ACSDT5Y2024.B25032?g=860XX00US"&amp;B51,"B25032"))</f>
        <v/>
      </c>
      <c r="Z51" s="40" t="str">
        <f aca="false">IF(B51="","",HYPERLINK("https://censusreporter.org/profiles/86000US"&amp;B51&amp;"-"&amp;B51&amp;"/","Profile"))</f>
        <v/>
      </c>
    </row>
    <row r="52" customFormat="false" ht="15" hidden="false" customHeight="false" outlineLevel="0" collapsed="false">
      <c r="A52" s="30"/>
      <c r="B52" s="30"/>
      <c r="C52" s="30"/>
      <c r="D52" s="41"/>
      <c r="E52" s="27"/>
      <c r="F52" s="27"/>
      <c r="G52" s="27"/>
      <c r="H52" s="31"/>
      <c r="I52" s="31"/>
      <c r="J52" s="31"/>
      <c r="K52" s="41"/>
      <c r="L52" s="42"/>
      <c r="M52" s="27"/>
      <c r="N52" s="27"/>
      <c r="O52" s="41"/>
      <c r="P52" s="43"/>
      <c r="Q52" s="30"/>
      <c r="R52" s="39" t="str">
        <f aca="false">IF(OR(E52="",F52="",E52=0),"",F52/(E52/3))</f>
        <v/>
      </c>
      <c r="S52" s="24" t="str">
        <f aca="false">IF(OR(D52="",K52="",D52=0),"",K52*12/D52)</f>
        <v/>
      </c>
      <c r="T52" s="24" t="str">
        <f aca="false">IF(OR(M52="",N52=""),"",IF(M52+N52=0,"",N52/(M52+N52)))</f>
        <v/>
      </c>
      <c r="U52" s="21" t="str">
        <f aca="false">IF(B52="","",COUNTIF('Past Flips'!$B$8:$B$307,B52)+COUNTIFS('Flip Candidates'!$B$8:$B$207,B52,'Flip Candidates'!$O$8:$O$207,"Likely flip"))</f>
        <v/>
      </c>
      <c r="V52" s="24" t="str">
        <f aca="false">IF(OR(U52="",E52="",E52=0),"",U52/(E52*4))</f>
        <v/>
      </c>
      <c r="W52" s="21" t="str">
        <f aca="false">IF(B52="","",COUNTIF('Listing Watch'!$B$8:$B$307,B52))</f>
        <v/>
      </c>
      <c r="X52" s="40" t="str">
        <f aca="false">IF(B52="","",HYPERLINK("https://www.redfin.com/zipcode/"&amp;B52&amp;"/housing-market","Redfin"))</f>
        <v/>
      </c>
      <c r="Y52" s="40" t="str">
        <f aca="false">IF(B52="","",HYPERLINK("https://data.census.gov/table/ACSDT5Y2024.B25032?g=860XX00US"&amp;B52,"B25032"))</f>
        <v/>
      </c>
      <c r="Z52" s="40" t="str">
        <f aca="false">IF(B52="","",HYPERLINK("https://censusreporter.org/profiles/86000US"&amp;B52&amp;"-"&amp;B52&amp;"/","Profile"))</f>
        <v/>
      </c>
    </row>
    <row r="53" customFormat="false" ht="15" hidden="false" customHeight="false" outlineLevel="0" collapsed="false">
      <c r="A53" s="30"/>
      <c r="B53" s="30"/>
      <c r="C53" s="30"/>
      <c r="D53" s="41"/>
      <c r="E53" s="27"/>
      <c r="F53" s="27"/>
      <c r="G53" s="27"/>
      <c r="H53" s="31"/>
      <c r="I53" s="31"/>
      <c r="J53" s="31"/>
      <c r="K53" s="41"/>
      <c r="L53" s="42"/>
      <c r="M53" s="27"/>
      <c r="N53" s="27"/>
      <c r="O53" s="41"/>
      <c r="P53" s="43"/>
      <c r="Q53" s="30"/>
      <c r="R53" s="39" t="str">
        <f aca="false">IF(OR(E53="",F53="",E53=0),"",F53/(E53/3))</f>
        <v/>
      </c>
      <c r="S53" s="24" t="str">
        <f aca="false">IF(OR(D53="",K53="",D53=0),"",K53*12/D53)</f>
        <v/>
      </c>
      <c r="T53" s="24" t="str">
        <f aca="false">IF(OR(M53="",N53=""),"",IF(M53+N53=0,"",N53/(M53+N53)))</f>
        <v/>
      </c>
      <c r="U53" s="21" t="str">
        <f aca="false">IF(B53="","",COUNTIF('Past Flips'!$B$8:$B$307,B53)+COUNTIFS('Flip Candidates'!$B$8:$B$207,B53,'Flip Candidates'!$O$8:$O$207,"Likely flip"))</f>
        <v/>
      </c>
      <c r="V53" s="24" t="str">
        <f aca="false">IF(OR(U53="",E53="",E53=0),"",U53/(E53*4))</f>
        <v/>
      </c>
      <c r="W53" s="21" t="str">
        <f aca="false">IF(B53="","",COUNTIF('Listing Watch'!$B$8:$B$307,B53))</f>
        <v/>
      </c>
      <c r="X53" s="40" t="str">
        <f aca="false">IF(B53="","",HYPERLINK("https://www.redfin.com/zipcode/"&amp;B53&amp;"/housing-market","Redfin"))</f>
        <v/>
      </c>
      <c r="Y53" s="40" t="str">
        <f aca="false">IF(B53="","",HYPERLINK("https://data.census.gov/table/ACSDT5Y2024.B25032?g=860XX00US"&amp;B53,"B25032"))</f>
        <v/>
      </c>
      <c r="Z53" s="40" t="str">
        <f aca="false">IF(B53="","",HYPERLINK("https://censusreporter.org/profiles/86000US"&amp;B53&amp;"-"&amp;B53&amp;"/","Profile"))</f>
        <v/>
      </c>
    </row>
    <row r="54" customFormat="false" ht="15" hidden="false" customHeight="false" outlineLevel="0" collapsed="false">
      <c r="A54" s="30"/>
      <c r="B54" s="30"/>
      <c r="C54" s="30"/>
      <c r="D54" s="41"/>
      <c r="E54" s="27"/>
      <c r="F54" s="27"/>
      <c r="G54" s="27"/>
      <c r="H54" s="31"/>
      <c r="I54" s="31"/>
      <c r="J54" s="31"/>
      <c r="K54" s="41"/>
      <c r="L54" s="42"/>
      <c r="M54" s="27"/>
      <c r="N54" s="27"/>
      <c r="O54" s="41"/>
      <c r="P54" s="43"/>
      <c r="Q54" s="30"/>
      <c r="R54" s="39" t="str">
        <f aca="false">IF(OR(E54="",F54="",E54=0),"",F54/(E54/3))</f>
        <v/>
      </c>
      <c r="S54" s="24" t="str">
        <f aca="false">IF(OR(D54="",K54="",D54=0),"",K54*12/D54)</f>
        <v/>
      </c>
      <c r="T54" s="24" t="str">
        <f aca="false">IF(OR(M54="",N54=""),"",IF(M54+N54=0,"",N54/(M54+N54)))</f>
        <v/>
      </c>
      <c r="U54" s="21" t="str">
        <f aca="false">IF(B54="","",COUNTIF('Past Flips'!$B$8:$B$307,B54)+COUNTIFS('Flip Candidates'!$B$8:$B$207,B54,'Flip Candidates'!$O$8:$O$207,"Likely flip"))</f>
        <v/>
      </c>
      <c r="V54" s="24" t="str">
        <f aca="false">IF(OR(U54="",E54="",E54=0),"",U54/(E54*4))</f>
        <v/>
      </c>
      <c r="W54" s="21" t="str">
        <f aca="false">IF(B54="","",COUNTIF('Listing Watch'!$B$8:$B$307,B54))</f>
        <v/>
      </c>
      <c r="X54" s="40" t="str">
        <f aca="false">IF(B54="","",HYPERLINK("https://www.redfin.com/zipcode/"&amp;B54&amp;"/housing-market","Redfin"))</f>
        <v/>
      </c>
      <c r="Y54" s="40" t="str">
        <f aca="false">IF(B54="","",HYPERLINK("https://data.census.gov/table/ACSDT5Y2024.B25032?g=860XX00US"&amp;B54,"B25032"))</f>
        <v/>
      </c>
      <c r="Z54" s="40" t="str">
        <f aca="false">IF(B54="","",HYPERLINK("https://censusreporter.org/profiles/86000US"&amp;B54&amp;"-"&amp;B54&amp;"/","Profile"))</f>
        <v/>
      </c>
    </row>
    <row r="55" customFormat="false" ht="15" hidden="false" customHeight="false" outlineLevel="0" collapsed="false">
      <c r="A55" s="30"/>
      <c r="B55" s="30"/>
      <c r="C55" s="30"/>
      <c r="D55" s="41"/>
      <c r="E55" s="27"/>
      <c r="F55" s="27"/>
      <c r="G55" s="27"/>
      <c r="H55" s="31"/>
      <c r="I55" s="31"/>
      <c r="J55" s="31"/>
      <c r="K55" s="41"/>
      <c r="L55" s="42"/>
      <c r="M55" s="27"/>
      <c r="N55" s="27"/>
      <c r="O55" s="41"/>
      <c r="P55" s="43"/>
      <c r="Q55" s="30"/>
      <c r="R55" s="39" t="str">
        <f aca="false">IF(OR(E55="",F55="",E55=0),"",F55/(E55/3))</f>
        <v/>
      </c>
      <c r="S55" s="24" t="str">
        <f aca="false">IF(OR(D55="",K55="",D55=0),"",K55*12/D55)</f>
        <v/>
      </c>
      <c r="T55" s="24" t="str">
        <f aca="false">IF(OR(M55="",N55=""),"",IF(M55+N55=0,"",N55/(M55+N55)))</f>
        <v/>
      </c>
      <c r="U55" s="21" t="str">
        <f aca="false">IF(B55="","",COUNTIF('Past Flips'!$B$8:$B$307,B55)+COUNTIFS('Flip Candidates'!$B$8:$B$207,B55,'Flip Candidates'!$O$8:$O$207,"Likely flip"))</f>
        <v/>
      </c>
      <c r="V55" s="24" t="str">
        <f aca="false">IF(OR(U55="",E55="",E55=0),"",U55/(E55*4))</f>
        <v/>
      </c>
      <c r="W55" s="21" t="str">
        <f aca="false">IF(B55="","",COUNTIF('Listing Watch'!$B$8:$B$307,B55))</f>
        <v/>
      </c>
      <c r="X55" s="40" t="str">
        <f aca="false">IF(B55="","",HYPERLINK("https://www.redfin.com/zipcode/"&amp;B55&amp;"/housing-market","Redfin"))</f>
        <v/>
      </c>
      <c r="Y55" s="40" t="str">
        <f aca="false">IF(B55="","",HYPERLINK("https://data.census.gov/table/ACSDT5Y2024.B25032?g=860XX00US"&amp;B55,"B25032"))</f>
        <v/>
      </c>
      <c r="Z55" s="40" t="str">
        <f aca="false">IF(B55="","",HYPERLINK("https://censusreporter.org/profiles/86000US"&amp;B55&amp;"-"&amp;B55&amp;"/","Profile"))</f>
        <v/>
      </c>
    </row>
    <row r="56" customFormat="false" ht="15" hidden="false" customHeight="false" outlineLevel="0" collapsed="false">
      <c r="A56" s="30"/>
      <c r="B56" s="30"/>
      <c r="C56" s="30"/>
      <c r="D56" s="41"/>
      <c r="E56" s="27"/>
      <c r="F56" s="27"/>
      <c r="G56" s="27"/>
      <c r="H56" s="31"/>
      <c r="I56" s="31"/>
      <c r="J56" s="31"/>
      <c r="K56" s="41"/>
      <c r="L56" s="42"/>
      <c r="M56" s="27"/>
      <c r="N56" s="27"/>
      <c r="O56" s="41"/>
      <c r="P56" s="43"/>
      <c r="Q56" s="30"/>
      <c r="R56" s="39" t="str">
        <f aca="false">IF(OR(E56="",F56="",E56=0),"",F56/(E56/3))</f>
        <v/>
      </c>
      <c r="S56" s="24" t="str">
        <f aca="false">IF(OR(D56="",K56="",D56=0),"",K56*12/D56)</f>
        <v/>
      </c>
      <c r="T56" s="24" t="str">
        <f aca="false">IF(OR(M56="",N56=""),"",IF(M56+N56=0,"",N56/(M56+N56)))</f>
        <v/>
      </c>
      <c r="U56" s="21" t="str">
        <f aca="false">IF(B56="","",COUNTIF('Past Flips'!$B$8:$B$307,B56)+COUNTIFS('Flip Candidates'!$B$8:$B$207,B56,'Flip Candidates'!$O$8:$O$207,"Likely flip"))</f>
        <v/>
      </c>
      <c r="V56" s="24" t="str">
        <f aca="false">IF(OR(U56="",E56="",E56=0),"",U56/(E56*4))</f>
        <v/>
      </c>
      <c r="W56" s="21" t="str">
        <f aca="false">IF(B56="","",COUNTIF('Listing Watch'!$B$8:$B$307,B56))</f>
        <v/>
      </c>
      <c r="X56" s="40" t="str">
        <f aca="false">IF(B56="","",HYPERLINK("https://www.redfin.com/zipcode/"&amp;B56&amp;"/housing-market","Redfin"))</f>
        <v/>
      </c>
      <c r="Y56" s="40" t="str">
        <f aca="false">IF(B56="","",HYPERLINK("https://data.census.gov/table/ACSDT5Y2024.B25032?g=860XX00US"&amp;B56,"B25032"))</f>
        <v/>
      </c>
      <c r="Z56" s="40" t="str">
        <f aca="false">IF(B56="","",HYPERLINK("https://censusreporter.org/profiles/86000US"&amp;B56&amp;"-"&amp;B56&amp;"/","Profile"))</f>
        <v/>
      </c>
    </row>
    <row r="57" customFormat="false" ht="15" hidden="false" customHeight="false" outlineLevel="0" collapsed="false">
      <c r="A57" s="30"/>
      <c r="B57" s="30"/>
      <c r="C57" s="30"/>
      <c r="D57" s="41"/>
      <c r="E57" s="27"/>
      <c r="F57" s="27"/>
      <c r="G57" s="27"/>
      <c r="H57" s="31"/>
      <c r="I57" s="31"/>
      <c r="J57" s="31"/>
      <c r="K57" s="41"/>
      <c r="L57" s="42"/>
      <c r="M57" s="27"/>
      <c r="N57" s="27"/>
      <c r="O57" s="41"/>
      <c r="P57" s="43"/>
      <c r="Q57" s="30"/>
      <c r="R57" s="39" t="str">
        <f aca="false">IF(OR(E57="",F57="",E57=0),"",F57/(E57/3))</f>
        <v/>
      </c>
      <c r="S57" s="24" t="str">
        <f aca="false">IF(OR(D57="",K57="",D57=0),"",K57*12/D57)</f>
        <v/>
      </c>
      <c r="T57" s="24" t="str">
        <f aca="false">IF(OR(M57="",N57=""),"",IF(M57+N57=0,"",N57/(M57+N57)))</f>
        <v/>
      </c>
      <c r="U57" s="21" t="str">
        <f aca="false">IF(B57="","",COUNTIF('Past Flips'!$B$8:$B$307,B57)+COUNTIFS('Flip Candidates'!$B$8:$B$207,B57,'Flip Candidates'!$O$8:$O$207,"Likely flip"))</f>
        <v/>
      </c>
      <c r="V57" s="24" t="str">
        <f aca="false">IF(OR(U57="",E57="",E57=0),"",U57/(E57*4))</f>
        <v/>
      </c>
      <c r="W57" s="21" t="str">
        <f aca="false">IF(B57="","",COUNTIF('Listing Watch'!$B$8:$B$307,B57))</f>
        <v/>
      </c>
      <c r="X57" s="40" t="str">
        <f aca="false">IF(B57="","",HYPERLINK("https://www.redfin.com/zipcode/"&amp;B57&amp;"/housing-market","Redfin"))</f>
        <v/>
      </c>
      <c r="Y57" s="40" t="str">
        <f aca="false">IF(B57="","",HYPERLINK("https://data.census.gov/table/ACSDT5Y2024.B25032?g=860XX00US"&amp;B57,"B25032"))</f>
        <v/>
      </c>
      <c r="Z57" s="40" t="str">
        <f aca="false">IF(B57="","",HYPERLINK("https://censusreporter.org/profiles/86000US"&amp;B57&amp;"-"&amp;B57&amp;"/","Profile"))</f>
        <v/>
      </c>
    </row>
    <row r="58" customFormat="false" ht="15" hidden="false" customHeight="false" outlineLevel="0" collapsed="false">
      <c r="A58" s="30"/>
      <c r="B58" s="30"/>
      <c r="C58" s="30"/>
      <c r="D58" s="41"/>
      <c r="E58" s="27"/>
      <c r="F58" s="27"/>
      <c r="G58" s="27"/>
      <c r="H58" s="31"/>
      <c r="I58" s="31"/>
      <c r="J58" s="31"/>
      <c r="K58" s="41"/>
      <c r="L58" s="42"/>
      <c r="M58" s="27"/>
      <c r="N58" s="27"/>
      <c r="O58" s="41"/>
      <c r="P58" s="43"/>
      <c r="Q58" s="30"/>
      <c r="R58" s="39" t="str">
        <f aca="false">IF(OR(E58="",F58="",E58=0),"",F58/(E58/3))</f>
        <v/>
      </c>
      <c r="S58" s="24" t="str">
        <f aca="false">IF(OR(D58="",K58="",D58=0),"",K58*12/D58)</f>
        <v/>
      </c>
      <c r="T58" s="24" t="str">
        <f aca="false">IF(OR(M58="",N58=""),"",IF(M58+N58=0,"",N58/(M58+N58)))</f>
        <v/>
      </c>
      <c r="U58" s="21" t="str">
        <f aca="false">IF(B58="","",COUNTIF('Past Flips'!$B$8:$B$307,B58)+COUNTIFS('Flip Candidates'!$B$8:$B$207,B58,'Flip Candidates'!$O$8:$O$207,"Likely flip"))</f>
        <v/>
      </c>
      <c r="V58" s="24" t="str">
        <f aca="false">IF(OR(U58="",E58="",E58=0),"",U58/(E58*4))</f>
        <v/>
      </c>
      <c r="W58" s="21" t="str">
        <f aca="false">IF(B58="","",COUNTIF('Listing Watch'!$B$8:$B$307,B58))</f>
        <v/>
      </c>
      <c r="X58" s="40" t="str">
        <f aca="false">IF(B58="","",HYPERLINK("https://www.redfin.com/zipcode/"&amp;B58&amp;"/housing-market","Redfin"))</f>
        <v/>
      </c>
      <c r="Y58" s="40" t="str">
        <f aca="false">IF(B58="","",HYPERLINK("https://data.census.gov/table/ACSDT5Y2024.B25032?g=860XX00US"&amp;B58,"B25032"))</f>
        <v/>
      </c>
      <c r="Z58" s="40" t="str">
        <f aca="false">IF(B58="","",HYPERLINK("https://censusreporter.org/profiles/86000US"&amp;B58&amp;"-"&amp;B58&amp;"/","Profile"))</f>
        <v/>
      </c>
    </row>
    <row r="59" customFormat="false" ht="15" hidden="false" customHeight="false" outlineLevel="0" collapsed="false">
      <c r="A59" s="30"/>
      <c r="B59" s="30"/>
      <c r="C59" s="30"/>
      <c r="D59" s="41"/>
      <c r="E59" s="27"/>
      <c r="F59" s="27"/>
      <c r="G59" s="27"/>
      <c r="H59" s="31"/>
      <c r="I59" s="31"/>
      <c r="J59" s="31"/>
      <c r="K59" s="41"/>
      <c r="L59" s="42"/>
      <c r="M59" s="27"/>
      <c r="N59" s="27"/>
      <c r="O59" s="41"/>
      <c r="P59" s="43"/>
      <c r="Q59" s="30"/>
      <c r="R59" s="39" t="str">
        <f aca="false">IF(OR(E59="",F59="",E59=0),"",F59/(E59/3))</f>
        <v/>
      </c>
      <c r="S59" s="24" t="str">
        <f aca="false">IF(OR(D59="",K59="",D59=0),"",K59*12/D59)</f>
        <v/>
      </c>
      <c r="T59" s="24" t="str">
        <f aca="false">IF(OR(M59="",N59=""),"",IF(M59+N59=0,"",N59/(M59+N59)))</f>
        <v/>
      </c>
      <c r="U59" s="21" t="str">
        <f aca="false">IF(B59="","",COUNTIF('Past Flips'!$B$8:$B$307,B59)+COUNTIFS('Flip Candidates'!$B$8:$B$207,B59,'Flip Candidates'!$O$8:$O$207,"Likely flip"))</f>
        <v/>
      </c>
      <c r="V59" s="24" t="str">
        <f aca="false">IF(OR(U59="",E59="",E59=0),"",U59/(E59*4))</f>
        <v/>
      </c>
      <c r="W59" s="21" t="str">
        <f aca="false">IF(B59="","",COUNTIF('Listing Watch'!$B$8:$B$307,B59))</f>
        <v/>
      </c>
      <c r="X59" s="40" t="str">
        <f aca="false">IF(B59="","",HYPERLINK("https://www.redfin.com/zipcode/"&amp;B59&amp;"/housing-market","Redfin"))</f>
        <v/>
      </c>
      <c r="Y59" s="40" t="str">
        <f aca="false">IF(B59="","",HYPERLINK("https://data.census.gov/table/ACSDT5Y2024.B25032?g=860XX00US"&amp;B59,"B25032"))</f>
        <v/>
      </c>
      <c r="Z59" s="40" t="str">
        <f aca="false">IF(B59="","",HYPERLINK("https://censusreporter.org/profiles/86000US"&amp;B59&amp;"-"&amp;B59&amp;"/","Profile"))</f>
        <v/>
      </c>
    </row>
    <row r="60" customFormat="false" ht="15" hidden="false" customHeight="false" outlineLevel="0" collapsed="false">
      <c r="A60" s="30"/>
      <c r="B60" s="30"/>
      <c r="C60" s="30"/>
      <c r="D60" s="41"/>
      <c r="E60" s="27"/>
      <c r="F60" s="27"/>
      <c r="G60" s="27"/>
      <c r="H60" s="31"/>
      <c r="I60" s="31"/>
      <c r="J60" s="31"/>
      <c r="K60" s="41"/>
      <c r="L60" s="42"/>
      <c r="M60" s="27"/>
      <c r="N60" s="27"/>
      <c r="O60" s="41"/>
      <c r="P60" s="43"/>
      <c r="Q60" s="30"/>
      <c r="R60" s="39" t="str">
        <f aca="false">IF(OR(E60="",F60="",E60=0),"",F60/(E60/3))</f>
        <v/>
      </c>
      <c r="S60" s="24" t="str">
        <f aca="false">IF(OR(D60="",K60="",D60=0),"",K60*12/D60)</f>
        <v/>
      </c>
      <c r="T60" s="24" t="str">
        <f aca="false">IF(OR(M60="",N60=""),"",IF(M60+N60=0,"",N60/(M60+N60)))</f>
        <v/>
      </c>
      <c r="U60" s="21" t="str">
        <f aca="false">IF(B60="","",COUNTIF('Past Flips'!$B$8:$B$307,B60)+COUNTIFS('Flip Candidates'!$B$8:$B$207,B60,'Flip Candidates'!$O$8:$O$207,"Likely flip"))</f>
        <v/>
      </c>
      <c r="V60" s="24" t="str">
        <f aca="false">IF(OR(U60="",E60="",E60=0),"",U60/(E60*4))</f>
        <v/>
      </c>
      <c r="W60" s="21" t="str">
        <f aca="false">IF(B60="","",COUNTIF('Listing Watch'!$B$8:$B$307,B60))</f>
        <v/>
      </c>
      <c r="X60" s="40" t="str">
        <f aca="false">IF(B60="","",HYPERLINK("https://www.redfin.com/zipcode/"&amp;B60&amp;"/housing-market","Redfin"))</f>
        <v/>
      </c>
      <c r="Y60" s="40" t="str">
        <f aca="false">IF(B60="","",HYPERLINK("https://data.census.gov/table/ACSDT5Y2024.B25032?g=860XX00US"&amp;B60,"B25032"))</f>
        <v/>
      </c>
      <c r="Z60" s="40" t="str">
        <f aca="false">IF(B60="","",HYPERLINK("https://censusreporter.org/profiles/86000US"&amp;B60&amp;"-"&amp;B60&amp;"/","Profile"))</f>
        <v/>
      </c>
    </row>
    <row r="61" customFormat="false" ht="15" hidden="false" customHeight="false" outlineLevel="0" collapsed="false">
      <c r="A61" s="30"/>
      <c r="B61" s="30"/>
      <c r="C61" s="30"/>
      <c r="D61" s="41"/>
      <c r="E61" s="27"/>
      <c r="F61" s="27"/>
      <c r="G61" s="27"/>
      <c r="H61" s="31"/>
      <c r="I61" s="31"/>
      <c r="J61" s="31"/>
      <c r="K61" s="41"/>
      <c r="L61" s="42"/>
      <c r="M61" s="27"/>
      <c r="N61" s="27"/>
      <c r="O61" s="41"/>
      <c r="P61" s="43"/>
      <c r="Q61" s="30"/>
      <c r="R61" s="39" t="str">
        <f aca="false">IF(OR(E61="",F61="",E61=0),"",F61/(E61/3))</f>
        <v/>
      </c>
      <c r="S61" s="24" t="str">
        <f aca="false">IF(OR(D61="",K61="",D61=0),"",K61*12/D61)</f>
        <v/>
      </c>
      <c r="T61" s="24" t="str">
        <f aca="false">IF(OR(M61="",N61=""),"",IF(M61+N61=0,"",N61/(M61+N61)))</f>
        <v/>
      </c>
      <c r="U61" s="21" t="str">
        <f aca="false">IF(B61="","",COUNTIF('Past Flips'!$B$8:$B$307,B61)+COUNTIFS('Flip Candidates'!$B$8:$B$207,B61,'Flip Candidates'!$O$8:$O$207,"Likely flip"))</f>
        <v/>
      </c>
      <c r="V61" s="24" t="str">
        <f aca="false">IF(OR(U61="",E61="",E61=0),"",U61/(E61*4))</f>
        <v/>
      </c>
      <c r="W61" s="21" t="str">
        <f aca="false">IF(B61="","",COUNTIF('Listing Watch'!$B$8:$B$307,B61))</f>
        <v/>
      </c>
      <c r="X61" s="40" t="str">
        <f aca="false">IF(B61="","",HYPERLINK("https://www.redfin.com/zipcode/"&amp;B61&amp;"/housing-market","Redfin"))</f>
        <v/>
      </c>
      <c r="Y61" s="40" t="str">
        <f aca="false">IF(B61="","",HYPERLINK("https://data.census.gov/table/ACSDT5Y2024.B25032?g=860XX00US"&amp;B61,"B25032"))</f>
        <v/>
      </c>
      <c r="Z61" s="40" t="str">
        <f aca="false">IF(B61="","",HYPERLINK("https://censusreporter.org/profiles/86000US"&amp;B61&amp;"-"&amp;B61&amp;"/","Profile"))</f>
        <v/>
      </c>
    </row>
    <row r="62" customFormat="false" ht="15" hidden="false" customHeight="false" outlineLevel="0" collapsed="false">
      <c r="A62" s="30"/>
      <c r="B62" s="30"/>
      <c r="C62" s="30"/>
      <c r="D62" s="41"/>
      <c r="E62" s="27"/>
      <c r="F62" s="27"/>
      <c r="G62" s="27"/>
      <c r="H62" s="31"/>
      <c r="I62" s="31"/>
      <c r="J62" s="31"/>
      <c r="K62" s="41"/>
      <c r="L62" s="42"/>
      <c r="M62" s="27"/>
      <c r="N62" s="27"/>
      <c r="O62" s="41"/>
      <c r="P62" s="43"/>
      <c r="Q62" s="30"/>
      <c r="R62" s="39" t="str">
        <f aca="false">IF(OR(E62="",F62="",E62=0),"",F62/(E62/3))</f>
        <v/>
      </c>
      <c r="S62" s="24" t="str">
        <f aca="false">IF(OR(D62="",K62="",D62=0),"",K62*12/D62)</f>
        <v/>
      </c>
      <c r="T62" s="24" t="str">
        <f aca="false">IF(OR(M62="",N62=""),"",IF(M62+N62=0,"",N62/(M62+N62)))</f>
        <v/>
      </c>
      <c r="U62" s="21" t="str">
        <f aca="false">IF(B62="","",COUNTIF('Past Flips'!$B$8:$B$307,B62)+COUNTIFS('Flip Candidates'!$B$8:$B$207,B62,'Flip Candidates'!$O$8:$O$207,"Likely flip"))</f>
        <v/>
      </c>
      <c r="V62" s="24" t="str">
        <f aca="false">IF(OR(U62="",E62="",E62=0),"",U62/(E62*4))</f>
        <v/>
      </c>
      <c r="W62" s="21" t="str">
        <f aca="false">IF(B62="","",COUNTIF('Listing Watch'!$B$8:$B$307,B62))</f>
        <v/>
      </c>
      <c r="X62" s="40" t="str">
        <f aca="false">IF(B62="","",HYPERLINK("https://www.redfin.com/zipcode/"&amp;B62&amp;"/housing-market","Redfin"))</f>
        <v/>
      </c>
      <c r="Y62" s="40" t="str">
        <f aca="false">IF(B62="","",HYPERLINK("https://data.census.gov/table/ACSDT5Y2024.B25032?g=860XX00US"&amp;B62,"B25032"))</f>
        <v/>
      </c>
      <c r="Z62" s="40" t="str">
        <f aca="false">IF(B62="","",HYPERLINK("https://censusreporter.org/profiles/86000US"&amp;B62&amp;"-"&amp;B62&amp;"/","Profile"))</f>
        <v/>
      </c>
    </row>
    <row r="63" customFormat="false" ht="15" hidden="false" customHeight="false" outlineLevel="0" collapsed="false">
      <c r="A63" s="30"/>
      <c r="B63" s="30"/>
      <c r="C63" s="30"/>
      <c r="D63" s="41"/>
      <c r="E63" s="27"/>
      <c r="F63" s="27"/>
      <c r="G63" s="27"/>
      <c r="H63" s="31"/>
      <c r="I63" s="31"/>
      <c r="J63" s="31"/>
      <c r="K63" s="41"/>
      <c r="L63" s="42"/>
      <c r="M63" s="27"/>
      <c r="N63" s="27"/>
      <c r="O63" s="41"/>
      <c r="P63" s="43"/>
      <c r="Q63" s="30"/>
      <c r="R63" s="39" t="str">
        <f aca="false">IF(OR(E63="",F63="",E63=0),"",F63/(E63/3))</f>
        <v/>
      </c>
      <c r="S63" s="24" t="str">
        <f aca="false">IF(OR(D63="",K63="",D63=0),"",K63*12/D63)</f>
        <v/>
      </c>
      <c r="T63" s="24" t="str">
        <f aca="false">IF(OR(M63="",N63=""),"",IF(M63+N63=0,"",N63/(M63+N63)))</f>
        <v/>
      </c>
      <c r="U63" s="21" t="str">
        <f aca="false">IF(B63="","",COUNTIF('Past Flips'!$B$8:$B$307,B63)+COUNTIFS('Flip Candidates'!$B$8:$B$207,B63,'Flip Candidates'!$O$8:$O$207,"Likely flip"))</f>
        <v/>
      </c>
      <c r="V63" s="24" t="str">
        <f aca="false">IF(OR(U63="",E63="",E63=0),"",U63/(E63*4))</f>
        <v/>
      </c>
      <c r="W63" s="21" t="str">
        <f aca="false">IF(B63="","",COUNTIF('Listing Watch'!$B$8:$B$307,B63))</f>
        <v/>
      </c>
      <c r="X63" s="40" t="str">
        <f aca="false">IF(B63="","",HYPERLINK("https://www.redfin.com/zipcode/"&amp;B63&amp;"/housing-market","Redfin"))</f>
        <v/>
      </c>
      <c r="Y63" s="40" t="str">
        <f aca="false">IF(B63="","",HYPERLINK("https://data.census.gov/table/ACSDT5Y2024.B25032?g=860XX00US"&amp;B63,"B25032"))</f>
        <v/>
      </c>
      <c r="Z63" s="40" t="str">
        <f aca="false">IF(B63="","",HYPERLINK("https://censusreporter.org/profiles/86000US"&amp;B63&amp;"-"&amp;B63&amp;"/","Profile"))</f>
        <v/>
      </c>
    </row>
    <row r="64" customFormat="false" ht="15" hidden="false" customHeight="false" outlineLevel="0" collapsed="false">
      <c r="A64" s="30"/>
      <c r="B64" s="30"/>
      <c r="C64" s="30"/>
      <c r="D64" s="41"/>
      <c r="E64" s="27"/>
      <c r="F64" s="27"/>
      <c r="G64" s="27"/>
      <c r="H64" s="31"/>
      <c r="I64" s="31"/>
      <c r="J64" s="31"/>
      <c r="K64" s="41"/>
      <c r="L64" s="42"/>
      <c r="M64" s="27"/>
      <c r="N64" s="27"/>
      <c r="O64" s="41"/>
      <c r="P64" s="43"/>
      <c r="Q64" s="30"/>
      <c r="R64" s="39" t="str">
        <f aca="false">IF(OR(E64="",F64="",E64=0),"",F64/(E64/3))</f>
        <v/>
      </c>
      <c r="S64" s="24" t="str">
        <f aca="false">IF(OR(D64="",K64="",D64=0),"",K64*12/D64)</f>
        <v/>
      </c>
      <c r="T64" s="24" t="str">
        <f aca="false">IF(OR(M64="",N64=""),"",IF(M64+N64=0,"",N64/(M64+N64)))</f>
        <v/>
      </c>
      <c r="U64" s="21" t="str">
        <f aca="false">IF(B64="","",COUNTIF('Past Flips'!$B$8:$B$307,B64)+COUNTIFS('Flip Candidates'!$B$8:$B$207,B64,'Flip Candidates'!$O$8:$O$207,"Likely flip"))</f>
        <v/>
      </c>
      <c r="V64" s="24" t="str">
        <f aca="false">IF(OR(U64="",E64="",E64=0),"",U64/(E64*4))</f>
        <v/>
      </c>
      <c r="W64" s="21" t="str">
        <f aca="false">IF(B64="","",COUNTIF('Listing Watch'!$B$8:$B$307,B64))</f>
        <v/>
      </c>
      <c r="X64" s="40" t="str">
        <f aca="false">IF(B64="","",HYPERLINK("https://www.redfin.com/zipcode/"&amp;B64&amp;"/housing-market","Redfin"))</f>
        <v/>
      </c>
      <c r="Y64" s="40" t="str">
        <f aca="false">IF(B64="","",HYPERLINK("https://data.census.gov/table/ACSDT5Y2024.B25032?g=860XX00US"&amp;B64,"B25032"))</f>
        <v/>
      </c>
      <c r="Z64" s="40" t="str">
        <f aca="false">IF(B64="","",HYPERLINK("https://censusreporter.org/profiles/86000US"&amp;B64&amp;"-"&amp;B64&amp;"/","Profile"))</f>
        <v/>
      </c>
    </row>
    <row r="65" customFormat="false" ht="15" hidden="false" customHeight="false" outlineLevel="0" collapsed="false">
      <c r="A65" s="30"/>
      <c r="B65" s="30"/>
      <c r="C65" s="30"/>
      <c r="D65" s="41"/>
      <c r="E65" s="27"/>
      <c r="F65" s="27"/>
      <c r="G65" s="27"/>
      <c r="H65" s="31"/>
      <c r="I65" s="31"/>
      <c r="J65" s="31"/>
      <c r="K65" s="41"/>
      <c r="L65" s="42"/>
      <c r="M65" s="27"/>
      <c r="N65" s="27"/>
      <c r="O65" s="41"/>
      <c r="P65" s="43"/>
      <c r="Q65" s="30"/>
      <c r="R65" s="39" t="str">
        <f aca="false">IF(OR(E65="",F65="",E65=0),"",F65/(E65/3))</f>
        <v/>
      </c>
      <c r="S65" s="24" t="str">
        <f aca="false">IF(OR(D65="",K65="",D65=0),"",K65*12/D65)</f>
        <v/>
      </c>
      <c r="T65" s="24" t="str">
        <f aca="false">IF(OR(M65="",N65=""),"",IF(M65+N65=0,"",N65/(M65+N65)))</f>
        <v/>
      </c>
      <c r="U65" s="21" t="str">
        <f aca="false">IF(B65="","",COUNTIF('Past Flips'!$B$8:$B$307,B65)+COUNTIFS('Flip Candidates'!$B$8:$B$207,B65,'Flip Candidates'!$O$8:$O$207,"Likely flip"))</f>
        <v/>
      </c>
      <c r="V65" s="24" t="str">
        <f aca="false">IF(OR(U65="",E65="",E65=0),"",U65/(E65*4))</f>
        <v/>
      </c>
      <c r="W65" s="21" t="str">
        <f aca="false">IF(B65="","",COUNTIF('Listing Watch'!$B$8:$B$307,B65))</f>
        <v/>
      </c>
      <c r="X65" s="40" t="str">
        <f aca="false">IF(B65="","",HYPERLINK("https://www.redfin.com/zipcode/"&amp;B65&amp;"/housing-market","Redfin"))</f>
        <v/>
      </c>
      <c r="Y65" s="40" t="str">
        <f aca="false">IF(B65="","",HYPERLINK("https://data.census.gov/table/ACSDT5Y2024.B25032?g=860XX00US"&amp;B65,"B25032"))</f>
        <v/>
      </c>
      <c r="Z65" s="40" t="str">
        <f aca="false">IF(B65="","",HYPERLINK("https://censusreporter.org/profiles/86000US"&amp;B65&amp;"-"&amp;B65&amp;"/","Profile"))</f>
        <v/>
      </c>
    </row>
    <row r="66" customFormat="false" ht="15" hidden="false" customHeight="false" outlineLevel="0" collapsed="false">
      <c r="A66" s="30"/>
      <c r="B66" s="30"/>
      <c r="C66" s="30"/>
      <c r="D66" s="41"/>
      <c r="E66" s="27"/>
      <c r="F66" s="27"/>
      <c r="G66" s="27"/>
      <c r="H66" s="31"/>
      <c r="I66" s="31"/>
      <c r="J66" s="31"/>
      <c r="K66" s="41"/>
      <c r="L66" s="42"/>
      <c r="M66" s="27"/>
      <c r="N66" s="27"/>
      <c r="O66" s="41"/>
      <c r="P66" s="43"/>
      <c r="Q66" s="30"/>
      <c r="R66" s="39" t="str">
        <f aca="false">IF(OR(E66="",F66="",E66=0),"",F66/(E66/3))</f>
        <v/>
      </c>
      <c r="S66" s="24" t="str">
        <f aca="false">IF(OR(D66="",K66="",D66=0),"",K66*12/D66)</f>
        <v/>
      </c>
      <c r="T66" s="24" t="str">
        <f aca="false">IF(OR(M66="",N66=""),"",IF(M66+N66=0,"",N66/(M66+N66)))</f>
        <v/>
      </c>
      <c r="U66" s="21" t="str">
        <f aca="false">IF(B66="","",COUNTIF('Past Flips'!$B$8:$B$307,B66)+COUNTIFS('Flip Candidates'!$B$8:$B$207,B66,'Flip Candidates'!$O$8:$O$207,"Likely flip"))</f>
        <v/>
      </c>
      <c r="V66" s="24" t="str">
        <f aca="false">IF(OR(U66="",E66="",E66=0),"",U66/(E66*4))</f>
        <v/>
      </c>
      <c r="W66" s="21" t="str">
        <f aca="false">IF(B66="","",COUNTIF('Listing Watch'!$B$8:$B$307,B66))</f>
        <v/>
      </c>
      <c r="X66" s="40" t="str">
        <f aca="false">IF(B66="","",HYPERLINK("https://www.redfin.com/zipcode/"&amp;B66&amp;"/housing-market","Redfin"))</f>
        <v/>
      </c>
      <c r="Y66" s="40" t="str">
        <f aca="false">IF(B66="","",HYPERLINK("https://data.census.gov/table/ACSDT5Y2024.B25032?g=860XX00US"&amp;B66,"B25032"))</f>
        <v/>
      </c>
      <c r="Z66" s="40" t="str">
        <f aca="false">IF(B66="","",HYPERLINK("https://censusreporter.org/profiles/86000US"&amp;B66&amp;"-"&amp;B66&amp;"/","Profile"))</f>
        <v/>
      </c>
    </row>
    <row r="67" customFormat="false" ht="15" hidden="false" customHeight="false" outlineLevel="0" collapsed="false">
      <c r="A67" s="30"/>
      <c r="B67" s="30"/>
      <c r="C67" s="30"/>
      <c r="D67" s="41"/>
      <c r="E67" s="27"/>
      <c r="F67" s="27"/>
      <c r="G67" s="27"/>
      <c r="H67" s="31"/>
      <c r="I67" s="31"/>
      <c r="J67" s="31"/>
      <c r="K67" s="41"/>
      <c r="L67" s="42"/>
      <c r="M67" s="27"/>
      <c r="N67" s="27"/>
      <c r="O67" s="41"/>
      <c r="P67" s="43"/>
      <c r="Q67" s="30"/>
      <c r="R67" s="39" t="str">
        <f aca="false">IF(OR(E67="",F67="",E67=0),"",F67/(E67/3))</f>
        <v/>
      </c>
      <c r="S67" s="24" t="str">
        <f aca="false">IF(OR(D67="",K67="",D67=0),"",K67*12/D67)</f>
        <v/>
      </c>
      <c r="T67" s="24" t="str">
        <f aca="false">IF(OR(M67="",N67=""),"",IF(M67+N67=0,"",N67/(M67+N67)))</f>
        <v/>
      </c>
      <c r="U67" s="21" t="str">
        <f aca="false">IF(B67="","",COUNTIF('Past Flips'!$B$8:$B$307,B67)+COUNTIFS('Flip Candidates'!$B$8:$B$207,B67,'Flip Candidates'!$O$8:$O$207,"Likely flip"))</f>
        <v/>
      </c>
      <c r="V67" s="24" t="str">
        <f aca="false">IF(OR(U67="",E67="",E67=0),"",U67/(E67*4))</f>
        <v/>
      </c>
      <c r="W67" s="21" t="str">
        <f aca="false">IF(B67="","",COUNTIF('Listing Watch'!$B$8:$B$307,B67))</f>
        <v/>
      </c>
      <c r="X67" s="40" t="str">
        <f aca="false">IF(B67="","",HYPERLINK("https://www.redfin.com/zipcode/"&amp;B67&amp;"/housing-market","Redfin"))</f>
        <v/>
      </c>
      <c r="Y67" s="40" t="str">
        <f aca="false">IF(B67="","",HYPERLINK("https://data.census.gov/table/ACSDT5Y2024.B25032?g=860XX00US"&amp;B67,"B25032"))</f>
        <v/>
      </c>
      <c r="Z67" s="40" t="str">
        <f aca="false">IF(B67="","",HYPERLINK("https://censusreporter.org/profiles/86000US"&amp;B67&amp;"-"&amp;B67&amp;"/","Profile"))</f>
        <v/>
      </c>
    </row>
    <row r="68" customFormat="false" ht="15" hidden="false" customHeight="false" outlineLevel="0" collapsed="false">
      <c r="A68" s="30"/>
      <c r="B68" s="30"/>
      <c r="C68" s="30"/>
      <c r="D68" s="41"/>
      <c r="E68" s="27"/>
      <c r="F68" s="27"/>
      <c r="G68" s="27"/>
      <c r="H68" s="31"/>
      <c r="I68" s="31"/>
      <c r="J68" s="31"/>
      <c r="K68" s="41"/>
      <c r="L68" s="42"/>
      <c r="M68" s="27"/>
      <c r="N68" s="27"/>
      <c r="O68" s="41"/>
      <c r="P68" s="43"/>
      <c r="Q68" s="30"/>
      <c r="R68" s="39" t="str">
        <f aca="false">IF(OR(E68="",F68="",E68=0),"",F68/(E68/3))</f>
        <v/>
      </c>
      <c r="S68" s="24" t="str">
        <f aca="false">IF(OR(D68="",K68="",D68=0),"",K68*12/D68)</f>
        <v/>
      </c>
      <c r="T68" s="24" t="str">
        <f aca="false">IF(OR(M68="",N68=""),"",IF(M68+N68=0,"",N68/(M68+N68)))</f>
        <v/>
      </c>
      <c r="U68" s="21" t="str">
        <f aca="false">IF(B68="","",COUNTIF('Past Flips'!$B$8:$B$307,B68)+COUNTIFS('Flip Candidates'!$B$8:$B$207,B68,'Flip Candidates'!$O$8:$O$207,"Likely flip"))</f>
        <v/>
      </c>
      <c r="V68" s="24" t="str">
        <f aca="false">IF(OR(U68="",E68="",E68=0),"",U68/(E68*4))</f>
        <v/>
      </c>
      <c r="W68" s="21" t="str">
        <f aca="false">IF(B68="","",COUNTIF('Listing Watch'!$B$8:$B$307,B68))</f>
        <v/>
      </c>
      <c r="X68" s="40" t="str">
        <f aca="false">IF(B68="","",HYPERLINK("https://www.redfin.com/zipcode/"&amp;B68&amp;"/housing-market","Redfin"))</f>
        <v/>
      </c>
      <c r="Y68" s="40" t="str">
        <f aca="false">IF(B68="","",HYPERLINK("https://data.census.gov/table/ACSDT5Y2024.B25032?g=860XX00US"&amp;B68,"B25032"))</f>
        <v/>
      </c>
      <c r="Z68" s="40" t="str">
        <f aca="false">IF(B68="","",HYPERLINK("https://censusreporter.org/profiles/86000US"&amp;B68&amp;"-"&amp;B68&amp;"/","Profile"))</f>
        <v/>
      </c>
    </row>
    <row r="69" customFormat="false" ht="15" hidden="false" customHeight="false" outlineLevel="0" collapsed="false">
      <c r="A69" s="30"/>
      <c r="B69" s="30"/>
      <c r="C69" s="30"/>
      <c r="D69" s="41"/>
      <c r="E69" s="27"/>
      <c r="F69" s="27"/>
      <c r="G69" s="27"/>
      <c r="H69" s="31"/>
      <c r="I69" s="31"/>
      <c r="J69" s="31"/>
      <c r="K69" s="41"/>
      <c r="L69" s="42"/>
      <c r="M69" s="27"/>
      <c r="N69" s="27"/>
      <c r="O69" s="41"/>
      <c r="P69" s="43"/>
      <c r="Q69" s="30"/>
      <c r="R69" s="39" t="str">
        <f aca="false">IF(OR(E69="",F69="",E69=0),"",F69/(E69/3))</f>
        <v/>
      </c>
      <c r="S69" s="24" t="str">
        <f aca="false">IF(OR(D69="",K69="",D69=0),"",K69*12/D69)</f>
        <v/>
      </c>
      <c r="T69" s="24" t="str">
        <f aca="false">IF(OR(M69="",N69=""),"",IF(M69+N69=0,"",N69/(M69+N69)))</f>
        <v/>
      </c>
      <c r="U69" s="21" t="str">
        <f aca="false">IF(B69="","",COUNTIF('Past Flips'!$B$8:$B$307,B69)+COUNTIFS('Flip Candidates'!$B$8:$B$207,B69,'Flip Candidates'!$O$8:$O$207,"Likely flip"))</f>
        <v/>
      </c>
      <c r="V69" s="24" t="str">
        <f aca="false">IF(OR(U69="",E69="",E69=0),"",U69/(E69*4))</f>
        <v/>
      </c>
      <c r="W69" s="21" t="str">
        <f aca="false">IF(B69="","",COUNTIF('Listing Watch'!$B$8:$B$307,B69))</f>
        <v/>
      </c>
      <c r="X69" s="40" t="str">
        <f aca="false">IF(B69="","",HYPERLINK("https://www.redfin.com/zipcode/"&amp;B69&amp;"/housing-market","Redfin"))</f>
        <v/>
      </c>
      <c r="Y69" s="40" t="str">
        <f aca="false">IF(B69="","",HYPERLINK("https://data.census.gov/table/ACSDT5Y2024.B25032?g=860XX00US"&amp;B69,"B25032"))</f>
        <v/>
      </c>
      <c r="Z69" s="40" t="str">
        <f aca="false">IF(B69="","",HYPERLINK("https://censusreporter.org/profiles/86000US"&amp;B69&amp;"-"&amp;B69&amp;"/","Profile"))</f>
        <v/>
      </c>
    </row>
    <row r="70" customFormat="false" ht="15" hidden="false" customHeight="false" outlineLevel="0" collapsed="false">
      <c r="A70" s="30"/>
      <c r="B70" s="30"/>
      <c r="C70" s="30"/>
      <c r="D70" s="41"/>
      <c r="E70" s="27"/>
      <c r="F70" s="27"/>
      <c r="G70" s="27"/>
      <c r="H70" s="31"/>
      <c r="I70" s="31"/>
      <c r="J70" s="31"/>
      <c r="K70" s="41"/>
      <c r="L70" s="42"/>
      <c r="M70" s="27"/>
      <c r="N70" s="27"/>
      <c r="O70" s="41"/>
      <c r="P70" s="43"/>
      <c r="Q70" s="30"/>
      <c r="R70" s="39" t="str">
        <f aca="false">IF(OR(E70="",F70="",E70=0),"",F70/(E70/3))</f>
        <v/>
      </c>
      <c r="S70" s="24" t="str">
        <f aca="false">IF(OR(D70="",K70="",D70=0),"",K70*12/D70)</f>
        <v/>
      </c>
      <c r="T70" s="24" t="str">
        <f aca="false">IF(OR(M70="",N70=""),"",IF(M70+N70=0,"",N70/(M70+N70)))</f>
        <v/>
      </c>
      <c r="U70" s="21" t="str">
        <f aca="false">IF(B70="","",COUNTIF('Past Flips'!$B$8:$B$307,B70)+COUNTIFS('Flip Candidates'!$B$8:$B$207,B70,'Flip Candidates'!$O$8:$O$207,"Likely flip"))</f>
        <v/>
      </c>
      <c r="V70" s="24" t="str">
        <f aca="false">IF(OR(U70="",E70="",E70=0),"",U70/(E70*4))</f>
        <v/>
      </c>
      <c r="W70" s="21" t="str">
        <f aca="false">IF(B70="","",COUNTIF('Listing Watch'!$B$8:$B$307,B70))</f>
        <v/>
      </c>
      <c r="X70" s="40" t="str">
        <f aca="false">IF(B70="","",HYPERLINK("https://www.redfin.com/zipcode/"&amp;B70&amp;"/housing-market","Redfin"))</f>
        <v/>
      </c>
      <c r="Y70" s="40" t="str">
        <f aca="false">IF(B70="","",HYPERLINK("https://data.census.gov/table/ACSDT5Y2024.B25032?g=860XX00US"&amp;B70,"B25032"))</f>
        <v/>
      </c>
      <c r="Z70" s="40" t="str">
        <f aca="false">IF(B70="","",HYPERLINK("https://censusreporter.org/profiles/86000US"&amp;B70&amp;"-"&amp;B70&amp;"/","Profile"))</f>
        <v/>
      </c>
    </row>
    <row r="71" customFormat="false" ht="15" hidden="false" customHeight="false" outlineLevel="0" collapsed="false">
      <c r="A71" s="30"/>
      <c r="B71" s="30"/>
      <c r="C71" s="30"/>
      <c r="D71" s="41"/>
      <c r="E71" s="27"/>
      <c r="F71" s="27"/>
      <c r="G71" s="27"/>
      <c r="H71" s="31"/>
      <c r="I71" s="31"/>
      <c r="J71" s="31"/>
      <c r="K71" s="41"/>
      <c r="L71" s="42"/>
      <c r="M71" s="27"/>
      <c r="N71" s="27"/>
      <c r="O71" s="41"/>
      <c r="P71" s="43"/>
      <c r="Q71" s="30"/>
      <c r="R71" s="39" t="str">
        <f aca="false">IF(OR(E71="",F71="",E71=0),"",F71/(E71/3))</f>
        <v/>
      </c>
      <c r="S71" s="24" t="str">
        <f aca="false">IF(OR(D71="",K71="",D71=0),"",K71*12/D71)</f>
        <v/>
      </c>
      <c r="T71" s="24" t="str">
        <f aca="false">IF(OR(M71="",N71=""),"",IF(M71+N71=0,"",N71/(M71+N71)))</f>
        <v/>
      </c>
      <c r="U71" s="21" t="str">
        <f aca="false">IF(B71="","",COUNTIF('Past Flips'!$B$8:$B$307,B71)+COUNTIFS('Flip Candidates'!$B$8:$B$207,B71,'Flip Candidates'!$O$8:$O$207,"Likely flip"))</f>
        <v/>
      </c>
      <c r="V71" s="24" t="str">
        <f aca="false">IF(OR(U71="",E71="",E71=0),"",U71/(E71*4))</f>
        <v/>
      </c>
      <c r="W71" s="21" t="str">
        <f aca="false">IF(B71="","",COUNTIF('Listing Watch'!$B$8:$B$307,B71))</f>
        <v/>
      </c>
      <c r="X71" s="40" t="str">
        <f aca="false">IF(B71="","",HYPERLINK("https://www.redfin.com/zipcode/"&amp;B71&amp;"/housing-market","Redfin"))</f>
        <v/>
      </c>
      <c r="Y71" s="40" t="str">
        <f aca="false">IF(B71="","",HYPERLINK("https://data.census.gov/table/ACSDT5Y2024.B25032?g=860XX00US"&amp;B71,"B25032"))</f>
        <v/>
      </c>
      <c r="Z71" s="40" t="str">
        <f aca="false">IF(B71="","",HYPERLINK("https://censusreporter.org/profiles/86000US"&amp;B71&amp;"-"&amp;B71&amp;"/","Profile"))</f>
        <v/>
      </c>
    </row>
    <row r="72" customFormat="false" ht="15" hidden="false" customHeight="false" outlineLevel="0" collapsed="false">
      <c r="A72" s="30"/>
      <c r="B72" s="30"/>
      <c r="C72" s="30"/>
      <c r="D72" s="41"/>
      <c r="E72" s="27"/>
      <c r="F72" s="27"/>
      <c r="G72" s="27"/>
      <c r="H72" s="31"/>
      <c r="I72" s="31"/>
      <c r="J72" s="31"/>
      <c r="K72" s="41"/>
      <c r="L72" s="42"/>
      <c r="M72" s="27"/>
      <c r="N72" s="27"/>
      <c r="O72" s="41"/>
      <c r="P72" s="43"/>
      <c r="Q72" s="30"/>
      <c r="R72" s="39" t="str">
        <f aca="false">IF(OR(E72="",F72="",E72=0),"",F72/(E72/3))</f>
        <v/>
      </c>
      <c r="S72" s="24" t="str">
        <f aca="false">IF(OR(D72="",K72="",D72=0),"",K72*12/D72)</f>
        <v/>
      </c>
      <c r="T72" s="24" t="str">
        <f aca="false">IF(OR(M72="",N72=""),"",IF(M72+N72=0,"",N72/(M72+N72)))</f>
        <v/>
      </c>
      <c r="U72" s="21" t="str">
        <f aca="false">IF(B72="","",COUNTIF('Past Flips'!$B$8:$B$307,B72)+COUNTIFS('Flip Candidates'!$B$8:$B$207,B72,'Flip Candidates'!$O$8:$O$207,"Likely flip"))</f>
        <v/>
      </c>
      <c r="V72" s="24" t="str">
        <f aca="false">IF(OR(U72="",E72="",E72=0),"",U72/(E72*4))</f>
        <v/>
      </c>
      <c r="W72" s="21" t="str">
        <f aca="false">IF(B72="","",COUNTIF('Listing Watch'!$B$8:$B$307,B72))</f>
        <v/>
      </c>
      <c r="X72" s="40" t="str">
        <f aca="false">IF(B72="","",HYPERLINK("https://www.redfin.com/zipcode/"&amp;B72&amp;"/housing-market","Redfin"))</f>
        <v/>
      </c>
      <c r="Y72" s="40" t="str">
        <f aca="false">IF(B72="","",HYPERLINK("https://data.census.gov/table/ACSDT5Y2024.B25032?g=860XX00US"&amp;B72,"B25032"))</f>
        <v/>
      </c>
      <c r="Z72" s="40" t="str">
        <f aca="false">IF(B72="","",HYPERLINK("https://censusreporter.org/profiles/86000US"&amp;B72&amp;"-"&amp;B72&amp;"/","Profile"))</f>
        <v/>
      </c>
    </row>
    <row r="73" customFormat="false" ht="15" hidden="false" customHeight="false" outlineLevel="0" collapsed="false">
      <c r="A73" s="30"/>
      <c r="B73" s="30"/>
      <c r="C73" s="30"/>
      <c r="D73" s="41"/>
      <c r="E73" s="27"/>
      <c r="F73" s="27"/>
      <c r="G73" s="27"/>
      <c r="H73" s="31"/>
      <c r="I73" s="31"/>
      <c r="J73" s="31"/>
      <c r="K73" s="41"/>
      <c r="L73" s="42"/>
      <c r="M73" s="27"/>
      <c r="N73" s="27"/>
      <c r="O73" s="41"/>
      <c r="P73" s="43"/>
      <c r="Q73" s="30"/>
      <c r="R73" s="39" t="str">
        <f aca="false">IF(OR(E73="",F73="",E73=0),"",F73/(E73/3))</f>
        <v/>
      </c>
      <c r="S73" s="24" t="str">
        <f aca="false">IF(OR(D73="",K73="",D73=0),"",K73*12/D73)</f>
        <v/>
      </c>
      <c r="T73" s="24" t="str">
        <f aca="false">IF(OR(M73="",N73=""),"",IF(M73+N73=0,"",N73/(M73+N73)))</f>
        <v/>
      </c>
      <c r="U73" s="21" t="str">
        <f aca="false">IF(B73="","",COUNTIF('Past Flips'!$B$8:$B$307,B73)+COUNTIFS('Flip Candidates'!$B$8:$B$207,B73,'Flip Candidates'!$O$8:$O$207,"Likely flip"))</f>
        <v/>
      </c>
      <c r="V73" s="24" t="str">
        <f aca="false">IF(OR(U73="",E73="",E73=0),"",U73/(E73*4))</f>
        <v/>
      </c>
      <c r="W73" s="21" t="str">
        <f aca="false">IF(B73="","",COUNTIF('Listing Watch'!$B$8:$B$307,B73))</f>
        <v/>
      </c>
      <c r="X73" s="40" t="str">
        <f aca="false">IF(B73="","",HYPERLINK("https://www.redfin.com/zipcode/"&amp;B73&amp;"/housing-market","Redfin"))</f>
        <v/>
      </c>
      <c r="Y73" s="40" t="str">
        <f aca="false">IF(B73="","",HYPERLINK("https://data.census.gov/table/ACSDT5Y2024.B25032?g=860XX00US"&amp;B73,"B25032"))</f>
        <v/>
      </c>
      <c r="Z73" s="40" t="str">
        <f aca="false">IF(B73="","",HYPERLINK("https://censusreporter.org/profiles/86000US"&amp;B73&amp;"-"&amp;B73&amp;"/","Profile"))</f>
        <v/>
      </c>
    </row>
    <row r="74" customFormat="false" ht="15" hidden="false" customHeight="false" outlineLevel="0" collapsed="false">
      <c r="A74" s="30"/>
      <c r="B74" s="30"/>
      <c r="C74" s="30"/>
      <c r="D74" s="41"/>
      <c r="E74" s="27"/>
      <c r="F74" s="27"/>
      <c r="G74" s="27"/>
      <c r="H74" s="31"/>
      <c r="I74" s="31"/>
      <c r="J74" s="31"/>
      <c r="K74" s="41"/>
      <c r="L74" s="42"/>
      <c r="M74" s="27"/>
      <c r="N74" s="27"/>
      <c r="O74" s="41"/>
      <c r="P74" s="43"/>
      <c r="Q74" s="30"/>
      <c r="R74" s="39" t="str">
        <f aca="false">IF(OR(E74="",F74="",E74=0),"",F74/(E74/3))</f>
        <v/>
      </c>
      <c r="S74" s="24" t="str">
        <f aca="false">IF(OR(D74="",K74="",D74=0),"",K74*12/D74)</f>
        <v/>
      </c>
      <c r="T74" s="24" t="str">
        <f aca="false">IF(OR(M74="",N74=""),"",IF(M74+N74=0,"",N74/(M74+N74)))</f>
        <v/>
      </c>
      <c r="U74" s="21" t="str">
        <f aca="false">IF(B74="","",COUNTIF('Past Flips'!$B$8:$B$307,B74)+COUNTIFS('Flip Candidates'!$B$8:$B$207,B74,'Flip Candidates'!$O$8:$O$207,"Likely flip"))</f>
        <v/>
      </c>
      <c r="V74" s="24" t="str">
        <f aca="false">IF(OR(U74="",E74="",E74=0),"",U74/(E74*4))</f>
        <v/>
      </c>
      <c r="W74" s="21" t="str">
        <f aca="false">IF(B74="","",COUNTIF('Listing Watch'!$B$8:$B$307,B74))</f>
        <v/>
      </c>
      <c r="X74" s="40" t="str">
        <f aca="false">IF(B74="","",HYPERLINK("https://www.redfin.com/zipcode/"&amp;B74&amp;"/housing-market","Redfin"))</f>
        <v/>
      </c>
      <c r="Y74" s="40" t="str">
        <f aca="false">IF(B74="","",HYPERLINK("https://data.census.gov/table/ACSDT5Y2024.B25032?g=860XX00US"&amp;B74,"B25032"))</f>
        <v/>
      </c>
      <c r="Z74" s="40" t="str">
        <f aca="false">IF(B74="","",HYPERLINK("https://censusreporter.org/profiles/86000US"&amp;B74&amp;"-"&amp;B74&amp;"/","Profile"))</f>
        <v/>
      </c>
    </row>
    <row r="75" customFormat="false" ht="15" hidden="false" customHeight="false" outlineLevel="0" collapsed="false">
      <c r="A75" s="30"/>
      <c r="B75" s="30"/>
      <c r="C75" s="30"/>
      <c r="D75" s="41"/>
      <c r="E75" s="27"/>
      <c r="F75" s="27"/>
      <c r="G75" s="27"/>
      <c r="H75" s="31"/>
      <c r="I75" s="31"/>
      <c r="J75" s="31"/>
      <c r="K75" s="41"/>
      <c r="L75" s="42"/>
      <c r="M75" s="27"/>
      <c r="N75" s="27"/>
      <c r="O75" s="41"/>
      <c r="P75" s="43"/>
      <c r="Q75" s="30"/>
      <c r="R75" s="39" t="str">
        <f aca="false">IF(OR(E75="",F75="",E75=0),"",F75/(E75/3))</f>
        <v/>
      </c>
      <c r="S75" s="24" t="str">
        <f aca="false">IF(OR(D75="",K75="",D75=0),"",K75*12/D75)</f>
        <v/>
      </c>
      <c r="T75" s="24" t="str">
        <f aca="false">IF(OR(M75="",N75=""),"",IF(M75+N75=0,"",N75/(M75+N75)))</f>
        <v/>
      </c>
      <c r="U75" s="21" t="str">
        <f aca="false">IF(B75="","",COUNTIF('Past Flips'!$B$8:$B$307,B75)+COUNTIFS('Flip Candidates'!$B$8:$B$207,B75,'Flip Candidates'!$O$8:$O$207,"Likely flip"))</f>
        <v/>
      </c>
      <c r="V75" s="24" t="str">
        <f aca="false">IF(OR(U75="",E75="",E75=0),"",U75/(E75*4))</f>
        <v/>
      </c>
      <c r="W75" s="21" t="str">
        <f aca="false">IF(B75="","",COUNTIF('Listing Watch'!$B$8:$B$307,B75))</f>
        <v/>
      </c>
      <c r="X75" s="40" t="str">
        <f aca="false">IF(B75="","",HYPERLINK("https://www.redfin.com/zipcode/"&amp;B75&amp;"/housing-market","Redfin"))</f>
        <v/>
      </c>
      <c r="Y75" s="40" t="str">
        <f aca="false">IF(B75="","",HYPERLINK("https://data.census.gov/table/ACSDT5Y2024.B25032?g=860XX00US"&amp;B75,"B25032"))</f>
        <v/>
      </c>
      <c r="Z75" s="40" t="str">
        <f aca="false">IF(B75="","",HYPERLINK("https://censusreporter.org/profiles/86000US"&amp;B75&amp;"-"&amp;B75&amp;"/","Profile"))</f>
        <v/>
      </c>
    </row>
    <row r="76" customFormat="false" ht="15" hidden="false" customHeight="false" outlineLevel="0" collapsed="false">
      <c r="A76" s="30"/>
      <c r="B76" s="30"/>
      <c r="C76" s="30"/>
      <c r="D76" s="41"/>
      <c r="E76" s="27"/>
      <c r="F76" s="27"/>
      <c r="G76" s="27"/>
      <c r="H76" s="31"/>
      <c r="I76" s="31"/>
      <c r="J76" s="31"/>
      <c r="K76" s="41"/>
      <c r="L76" s="42"/>
      <c r="M76" s="27"/>
      <c r="N76" s="27"/>
      <c r="O76" s="41"/>
      <c r="P76" s="43"/>
      <c r="Q76" s="30"/>
      <c r="R76" s="39" t="str">
        <f aca="false">IF(OR(E76="",F76="",E76=0),"",F76/(E76/3))</f>
        <v/>
      </c>
      <c r="S76" s="24" t="str">
        <f aca="false">IF(OR(D76="",K76="",D76=0),"",K76*12/D76)</f>
        <v/>
      </c>
      <c r="T76" s="24" t="str">
        <f aca="false">IF(OR(M76="",N76=""),"",IF(M76+N76=0,"",N76/(M76+N76)))</f>
        <v/>
      </c>
      <c r="U76" s="21" t="str">
        <f aca="false">IF(B76="","",COUNTIF('Past Flips'!$B$8:$B$307,B76)+COUNTIFS('Flip Candidates'!$B$8:$B$207,B76,'Flip Candidates'!$O$8:$O$207,"Likely flip"))</f>
        <v/>
      </c>
      <c r="V76" s="24" t="str">
        <f aca="false">IF(OR(U76="",E76="",E76=0),"",U76/(E76*4))</f>
        <v/>
      </c>
      <c r="W76" s="21" t="str">
        <f aca="false">IF(B76="","",COUNTIF('Listing Watch'!$B$8:$B$307,B76))</f>
        <v/>
      </c>
      <c r="X76" s="40" t="str">
        <f aca="false">IF(B76="","",HYPERLINK("https://www.redfin.com/zipcode/"&amp;B76&amp;"/housing-market","Redfin"))</f>
        <v/>
      </c>
      <c r="Y76" s="40" t="str">
        <f aca="false">IF(B76="","",HYPERLINK("https://data.census.gov/table/ACSDT5Y2024.B25032?g=860XX00US"&amp;B76,"B25032"))</f>
        <v/>
      </c>
      <c r="Z76" s="40" t="str">
        <f aca="false">IF(B76="","",HYPERLINK("https://censusreporter.org/profiles/86000US"&amp;B76&amp;"-"&amp;B76&amp;"/","Profile"))</f>
        <v/>
      </c>
    </row>
    <row r="77" customFormat="false" ht="15" hidden="false" customHeight="false" outlineLevel="0" collapsed="false">
      <c r="A77" s="30"/>
      <c r="B77" s="30"/>
      <c r="C77" s="30"/>
      <c r="D77" s="41"/>
      <c r="E77" s="27"/>
      <c r="F77" s="27"/>
      <c r="G77" s="27"/>
      <c r="H77" s="31"/>
      <c r="I77" s="31"/>
      <c r="J77" s="31"/>
      <c r="K77" s="41"/>
      <c r="L77" s="42"/>
      <c r="M77" s="27"/>
      <c r="N77" s="27"/>
      <c r="O77" s="41"/>
      <c r="P77" s="43"/>
      <c r="Q77" s="30"/>
      <c r="R77" s="39" t="str">
        <f aca="false">IF(OR(E77="",F77="",E77=0),"",F77/(E77/3))</f>
        <v/>
      </c>
      <c r="S77" s="24" t="str">
        <f aca="false">IF(OR(D77="",K77="",D77=0),"",K77*12/D77)</f>
        <v/>
      </c>
      <c r="T77" s="24" t="str">
        <f aca="false">IF(OR(M77="",N77=""),"",IF(M77+N77=0,"",N77/(M77+N77)))</f>
        <v/>
      </c>
      <c r="U77" s="21" t="str">
        <f aca="false">IF(B77="","",COUNTIF('Past Flips'!$B$8:$B$307,B77)+COUNTIFS('Flip Candidates'!$B$8:$B$207,B77,'Flip Candidates'!$O$8:$O$207,"Likely flip"))</f>
        <v/>
      </c>
      <c r="V77" s="24" t="str">
        <f aca="false">IF(OR(U77="",E77="",E77=0),"",U77/(E77*4))</f>
        <v/>
      </c>
      <c r="W77" s="21" t="str">
        <f aca="false">IF(B77="","",COUNTIF('Listing Watch'!$B$8:$B$307,B77))</f>
        <v/>
      </c>
      <c r="X77" s="40" t="str">
        <f aca="false">IF(B77="","",HYPERLINK("https://www.redfin.com/zipcode/"&amp;B77&amp;"/housing-market","Redfin"))</f>
        <v/>
      </c>
      <c r="Y77" s="40" t="str">
        <f aca="false">IF(B77="","",HYPERLINK("https://data.census.gov/table/ACSDT5Y2024.B25032?g=860XX00US"&amp;B77,"B25032"))</f>
        <v/>
      </c>
      <c r="Z77" s="40" t="str">
        <f aca="false">IF(B77="","",HYPERLINK("https://censusreporter.org/profiles/86000US"&amp;B77&amp;"-"&amp;B77&amp;"/","Profile"))</f>
        <v/>
      </c>
    </row>
    <row r="78" customFormat="false" ht="15" hidden="false" customHeight="false" outlineLevel="0" collapsed="false">
      <c r="A78" s="30"/>
      <c r="B78" s="30"/>
      <c r="C78" s="30"/>
      <c r="D78" s="41"/>
      <c r="E78" s="27"/>
      <c r="F78" s="27"/>
      <c r="G78" s="27"/>
      <c r="H78" s="31"/>
      <c r="I78" s="31"/>
      <c r="J78" s="31"/>
      <c r="K78" s="41"/>
      <c r="L78" s="42"/>
      <c r="M78" s="27"/>
      <c r="N78" s="27"/>
      <c r="O78" s="41"/>
      <c r="P78" s="43"/>
      <c r="Q78" s="30"/>
      <c r="R78" s="39" t="str">
        <f aca="false">IF(OR(E78="",F78="",E78=0),"",F78/(E78/3))</f>
        <v/>
      </c>
      <c r="S78" s="24" t="str">
        <f aca="false">IF(OR(D78="",K78="",D78=0),"",K78*12/D78)</f>
        <v/>
      </c>
      <c r="T78" s="24" t="str">
        <f aca="false">IF(OR(M78="",N78=""),"",IF(M78+N78=0,"",N78/(M78+N78)))</f>
        <v/>
      </c>
      <c r="U78" s="21" t="str">
        <f aca="false">IF(B78="","",COUNTIF('Past Flips'!$B$8:$B$307,B78)+COUNTIFS('Flip Candidates'!$B$8:$B$207,B78,'Flip Candidates'!$O$8:$O$207,"Likely flip"))</f>
        <v/>
      </c>
      <c r="V78" s="24" t="str">
        <f aca="false">IF(OR(U78="",E78="",E78=0),"",U78/(E78*4))</f>
        <v/>
      </c>
      <c r="W78" s="21" t="str">
        <f aca="false">IF(B78="","",COUNTIF('Listing Watch'!$B$8:$B$307,B78))</f>
        <v/>
      </c>
      <c r="X78" s="40" t="str">
        <f aca="false">IF(B78="","",HYPERLINK("https://www.redfin.com/zipcode/"&amp;B78&amp;"/housing-market","Redfin"))</f>
        <v/>
      </c>
      <c r="Y78" s="40" t="str">
        <f aca="false">IF(B78="","",HYPERLINK("https://data.census.gov/table/ACSDT5Y2024.B25032?g=860XX00US"&amp;B78,"B25032"))</f>
        <v/>
      </c>
      <c r="Z78" s="40" t="str">
        <f aca="false">IF(B78="","",HYPERLINK("https://censusreporter.org/profiles/86000US"&amp;B78&amp;"-"&amp;B78&amp;"/","Profile"))</f>
        <v/>
      </c>
    </row>
    <row r="79" customFormat="false" ht="15" hidden="false" customHeight="false" outlineLevel="0" collapsed="false">
      <c r="A79" s="30"/>
      <c r="B79" s="30"/>
      <c r="C79" s="30"/>
      <c r="D79" s="41"/>
      <c r="E79" s="27"/>
      <c r="F79" s="27"/>
      <c r="G79" s="27"/>
      <c r="H79" s="31"/>
      <c r="I79" s="31"/>
      <c r="J79" s="31"/>
      <c r="K79" s="41"/>
      <c r="L79" s="42"/>
      <c r="M79" s="27"/>
      <c r="N79" s="27"/>
      <c r="O79" s="41"/>
      <c r="P79" s="43"/>
      <c r="Q79" s="30"/>
      <c r="R79" s="39" t="str">
        <f aca="false">IF(OR(E79="",F79="",E79=0),"",F79/(E79/3))</f>
        <v/>
      </c>
      <c r="S79" s="24" t="str">
        <f aca="false">IF(OR(D79="",K79="",D79=0),"",K79*12/D79)</f>
        <v/>
      </c>
      <c r="T79" s="24" t="str">
        <f aca="false">IF(OR(M79="",N79=""),"",IF(M79+N79=0,"",N79/(M79+N79)))</f>
        <v/>
      </c>
      <c r="U79" s="21" t="str">
        <f aca="false">IF(B79="","",COUNTIF('Past Flips'!$B$8:$B$307,B79)+COUNTIFS('Flip Candidates'!$B$8:$B$207,B79,'Flip Candidates'!$O$8:$O$207,"Likely flip"))</f>
        <v/>
      </c>
      <c r="V79" s="24" t="str">
        <f aca="false">IF(OR(U79="",E79="",E79=0),"",U79/(E79*4))</f>
        <v/>
      </c>
      <c r="W79" s="21" t="str">
        <f aca="false">IF(B79="","",COUNTIF('Listing Watch'!$B$8:$B$307,B79))</f>
        <v/>
      </c>
      <c r="X79" s="40" t="str">
        <f aca="false">IF(B79="","",HYPERLINK("https://www.redfin.com/zipcode/"&amp;B79&amp;"/housing-market","Redfin"))</f>
        <v/>
      </c>
      <c r="Y79" s="40" t="str">
        <f aca="false">IF(B79="","",HYPERLINK("https://data.census.gov/table/ACSDT5Y2024.B25032?g=860XX00US"&amp;B79,"B25032"))</f>
        <v/>
      </c>
      <c r="Z79" s="40" t="str">
        <f aca="false">IF(B79="","",HYPERLINK("https://censusreporter.org/profiles/86000US"&amp;B79&amp;"-"&amp;B79&amp;"/","Profile"))</f>
        <v/>
      </c>
    </row>
    <row r="80" customFormat="false" ht="15" hidden="false" customHeight="false" outlineLevel="0" collapsed="false">
      <c r="A80" s="30"/>
      <c r="B80" s="30"/>
      <c r="C80" s="30"/>
      <c r="D80" s="41"/>
      <c r="E80" s="27"/>
      <c r="F80" s="27"/>
      <c r="G80" s="27"/>
      <c r="H80" s="31"/>
      <c r="I80" s="31"/>
      <c r="J80" s="31"/>
      <c r="K80" s="41"/>
      <c r="L80" s="42"/>
      <c r="M80" s="27"/>
      <c r="N80" s="27"/>
      <c r="O80" s="41"/>
      <c r="P80" s="43"/>
      <c r="Q80" s="30"/>
      <c r="R80" s="39" t="str">
        <f aca="false">IF(OR(E80="",F80="",E80=0),"",F80/(E80/3))</f>
        <v/>
      </c>
      <c r="S80" s="24" t="str">
        <f aca="false">IF(OR(D80="",K80="",D80=0),"",K80*12/D80)</f>
        <v/>
      </c>
      <c r="T80" s="24" t="str">
        <f aca="false">IF(OR(M80="",N80=""),"",IF(M80+N80=0,"",N80/(M80+N80)))</f>
        <v/>
      </c>
      <c r="U80" s="21" t="str">
        <f aca="false">IF(B80="","",COUNTIF('Past Flips'!$B$8:$B$307,B80)+COUNTIFS('Flip Candidates'!$B$8:$B$207,B80,'Flip Candidates'!$O$8:$O$207,"Likely flip"))</f>
        <v/>
      </c>
      <c r="V80" s="24" t="str">
        <f aca="false">IF(OR(U80="",E80="",E80=0),"",U80/(E80*4))</f>
        <v/>
      </c>
      <c r="W80" s="21" t="str">
        <f aca="false">IF(B80="","",COUNTIF('Listing Watch'!$B$8:$B$307,B80))</f>
        <v/>
      </c>
      <c r="X80" s="40" t="str">
        <f aca="false">IF(B80="","",HYPERLINK("https://www.redfin.com/zipcode/"&amp;B80&amp;"/housing-market","Redfin"))</f>
        <v/>
      </c>
      <c r="Y80" s="40" t="str">
        <f aca="false">IF(B80="","",HYPERLINK("https://data.census.gov/table/ACSDT5Y2024.B25032?g=860XX00US"&amp;B80,"B25032"))</f>
        <v/>
      </c>
      <c r="Z80" s="40" t="str">
        <f aca="false">IF(B80="","",HYPERLINK("https://censusreporter.org/profiles/86000US"&amp;B80&amp;"-"&amp;B80&amp;"/","Profile"))</f>
        <v/>
      </c>
    </row>
    <row r="81" customFormat="false" ht="15" hidden="false" customHeight="false" outlineLevel="0" collapsed="false">
      <c r="A81" s="30"/>
      <c r="B81" s="30"/>
      <c r="C81" s="30"/>
      <c r="D81" s="41"/>
      <c r="E81" s="27"/>
      <c r="F81" s="27"/>
      <c r="G81" s="27"/>
      <c r="H81" s="31"/>
      <c r="I81" s="31"/>
      <c r="J81" s="31"/>
      <c r="K81" s="41"/>
      <c r="L81" s="42"/>
      <c r="M81" s="27"/>
      <c r="N81" s="27"/>
      <c r="O81" s="41"/>
      <c r="P81" s="43"/>
      <c r="Q81" s="30"/>
      <c r="R81" s="39" t="str">
        <f aca="false">IF(OR(E81="",F81="",E81=0),"",F81/(E81/3))</f>
        <v/>
      </c>
      <c r="S81" s="24" t="str">
        <f aca="false">IF(OR(D81="",K81="",D81=0),"",K81*12/D81)</f>
        <v/>
      </c>
      <c r="T81" s="24" t="str">
        <f aca="false">IF(OR(M81="",N81=""),"",IF(M81+N81=0,"",N81/(M81+N81)))</f>
        <v/>
      </c>
      <c r="U81" s="21" t="str">
        <f aca="false">IF(B81="","",COUNTIF('Past Flips'!$B$8:$B$307,B81)+COUNTIFS('Flip Candidates'!$B$8:$B$207,B81,'Flip Candidates'!$O$8:$O$207,"Likely flip"))</f>
        <v/>
      </c>
      <c r="V81" s="24" t="str">
        <f aca="false">IF(OR(U81="",E81="",E81=0),"",U81/(E81*4))</f>
        <v/>
      </c>
      <c r="W81" s="21" t="str">
        <f aca="false">IF(B81="","",COUNTIF('Listing Watch'!$B$8:$B$307,B81))</f>
        <v/>
      </c>
      <c r="X81" s="40" t="str">
        <f aca="false">IF(B81="","",HYPERLINK("https://www.redfin.com/zipcode/"&amp;B81&amp;"/housing-market","Redfin"))</f>
        <v/>
      </c>
      <c r="Y81" s="40" t="str">
        <f aca="false">IF(B81="","",HYPERLINK("https://data.census.gov/table/ACSDT5Y2024.B25032?g=860XX00US"&amp;B81,"B25032"))</f>
        <v/>
      </c>
      <c r="Z81" s="40" t="str">
        <f aca="false">IF(B81="","",HYPERLINK("https://censusreporter.org/profiles/86000US"&amp;B81&amp;"-"&amp;B81&amp;"/","Profile"))</f>
        <v/>
      </c>
    </row>
    <row r="82" customFormat="false" ht="15" hidden="false" customHeight="false" outlineLevel="0" collapsed="false">
      <c r="A82" s="30"/>
      <c r="B82" s="30"/>
      <c r="C82" s="30"/>
      <c r="D82" s="41"/>
      <c r="E82" s="27"/>
      <c r="F82" s="27"/>
      <c r="G82" s="27"/>
      <c r="H82" s="31"/>
      <c r="I82" s="31"/>
      <c r="J82" s="31"/>
      <c r="K82" s="41"/>
      <c r="L82" s="42"/>
      <c r="M82" s="27"/>
      <c r="N82" s="27"/>
      <c r="O82" s="41"/>
      <c r="P82" s="43"/>
      <c r="Q82" s="30"/>
      <c r="R82" s="39" t="str">
        <f aca="false">IF(OR(E82="",F82="",E82=0),"",F82/(E82/3))</f>
        <v/>
      </c>
      <c r="S82" s="24" t="str">
        <f aca="false">IF(OR(D82="",K82="",D82=0),"",K82*12/D82)</f>
        <v/>
      </c>
      <c r="T82" s="24" t="str">
        <f aca="false">IF(OR(M82="",N82=""),"",IF(M82+N82=0,"",N82/(M82+N82)))</f>
        <v/>
      </c>
      <c r="U82" s="21" t="str">
        <f aca="false">IF(B82="","",COUNTIF('Past Flips'!$B$8:$B$307,B82)+COUNTIFS('Flip Candidates'!$B$8:$B$207,B82,'Flip Candidates'!$O$8:$O$207,"Likely flip"))</f>
        <v/>
      </c>
      <c r="V82" s="24" t="str">
        <f aca="false">IF(OR(U82="",E82="",E82=0),"",U82/(E82*4))</f>
        <v/>
      </c>
      <c r="W82" s="21" t="str">
        <f aca="false">IF(B82="","",COUNTIF('Listing Watch'!$B$8:$B$307,B82))</f>
        <v/>
      </c>
      <c r="X82" s="40" t="str">
        <f aca="false">IF(B82="","",HYPERLINK("https://www.redfin.com/zipcode/"&amp;B82&amp;"/housing-market","Redfin"))</f>
        <v/>
      </c>
      <c r="Y82" s="40" t="str">
        <f aca="false">IF(B82="","",HYPERLINK("https://data.census.gov/table/ACSDT5Y2024.B25032?g=860XX00US"&amp;B82,"B25032"))</f>
        <v/>
      </c>
      <c r="Z82" s="40" t="str">
        <f aca="false">IF(B82="","",HYPERLINK("https://censusreporter.org/profiles/86000US"&amp;B82&amp;"-"&amp;B82&amp;"/","Profile"))</f>
        <v/>
      </c>
    </row>
    <row r="83" customFormat="false" ht="15" hidden="false" customHeight="false" outlineLevel="0" collapsed="false">
      <c r="A83" s="30"/>
      <c r="B83" s="30"/>
      <c r="C83" s="30"/>
      <c r="D83" s="41"/>
      <c r="E83" s="27"/>
      <c r="F83" s="27"/>
      <c r="G83" s="27"/>
      <c r="H83" s="31"/>
      <c r="I83" s="31"/>
      <c r="J83" s="31"/>
      <c r="K83" s="41"/>
      <c r="L83" s="42"/>
      <c r="M83" s="27"/>
      <c r="N83" s="27"/>
      <c r="O83" s="41"/>
      <c r="P83" s="43"/>
      <c r="Q83" s="30"/>
      <c r="R83" s="39" t="str">
        <f aca="false">IF(OR(E83="",F83="",E83=0),"",F83/(E83/3))</f>
        <v/>
      </c>
      <c r="S83" s="24" t="str">
        <f aca="false">IF(OR(D83="",K83="",D83=0),"",K83*12/D83)</f>
        <v/>
      </c>
      <c r="T83" s="24" t="str">
        <f aca="false">IF(OR(M83="",N83=""),"",IF(M83+N83=0,"",N83/(M83+N83)))</f>
        <v/>
      </c>
      <c r="U83" s="21" t="str">
        <f aca="false">IF(B83="","",COUNTIF('Past Flips'!$B$8:$B$307,B83)+COUNTIFS('Flip Candidates'!$B$8:$B$207,B83,'Flip Candidates'!$O$8:$O$207,"Likely flip"))</f>
        <v/>
      </c>
      <c r="V83" s="24" t="str">
        <f aca="false">IF(OR(U83="",E83="",E83=0),"",U83/(E83*4))</f>
        <v/>
      </c>
      <c r="W83" s="21" t="str">
        <f aca="false">IF(B83="","",COUNTIF('Listing Watch'!$B$8:$B$307,B83))</f>
        <v/>
      </c>
      <c r="X83" s="40" t="str">
        <f aca="false">IF(B83="","",HYPERLINK("https://www.redfin.com/zipcode/"&amp;B83&amp;"/housing-market","Redfin"))</f>
        <v/>
      </c>
      <c r="Y83" s="40" t="str">
        <f aca="false">IF(B83="","",HYPERLINK("https://data.census.gov/table/ACSDT5Y2024.B25032?g=860XX00US"&amp;B83,"B25032"))</f>
        <v/>
      </c>
      <c r="Z83" s="40" t="str">
        <f aca="false">IF(B83="","",HYPERLINK("https://censusreporter.org/profiles/86000US"&amp;B83&amp;"-"&amp;B83&amp;"/","Profile"))</f>
        <v/>
      </c>
    </row>
    <row r="84" customFormat="false" ht="15" hidden="false" customHeight="false" outlineLevel="0" collapsed="false">
      <c r="A84" s="30"/>
      <c r="B84" s="30"/>
      <c r="C84" s="30"/>
      <c r="D84" s="41"/>
      <c r="E84" s="27"/>
      <c r="F84" s="27"/>
      <c r="G84" s="27"/>
      <c r="H84" s="31"/>
      <c r="I84" s="31"/>
      <c r="J84" s="31"/>
      <c r="K84" s="41"/>
      <c r="L84" s="42"/>
      <c r="M84" s="27"/>
      <c r="N84" s="27"/>
      <c r="O84" s="41"/>
      <c r="P84" s="43"/>
      <c r="Q84" s="30"/>
      <c r="R84" s="39" t="str">
        <f aca="false">IF(OR(E84="",F84="",E84=0),"",F84/(E84/3))</f>
        <v/>
      </c>
      <c r="S84" s="24" t="str">
        <f aca="false">IF(OR(D84="",K84="",D84=0),"",K84*12/D84)</f>
        <v/>
      </c>
      <c r="T84" s="24" t="str">
        <f aca="false">IF(OR(M84="",N84=""),"",IF(M84+N84=0,"",N84/(M84+N84)))</f>
        <v/>
      </c>
      <c r="U84" s="21" t="str">
        <f aca="false">IF(B84="","",COUNTIF('Past Flips'!$B$8:$B$307,B84)+COUNTIFS('Flip Candidates'!$B$8:$B$207,B84,'Flip Candidates'!$O$8:$O$207,"Likely flip"))</f>
        <v/>
      </c>
      <c r="V84" s="24" t="str">
        <f aca="false">IF(OR(U84="",E84="",E84=0),"",U84/(E84*4))</f>
        <v/>
      </c>
      <c r="W84" s="21" t="str">
        <f aca="false">IF(B84="","",COUNTIF('Listing Watch'!$B$8:$B$307,B84))</f>
        <v/>
      </c>
      <c r="X84" s="40" t="str">
        <f aca="false">IF(B84="","",HYPERLINK("https://www.redfin.com/zipcode/"&amp;B84&amp;"/housing-market","Redfin"))</f>
        <v/>
      </c>
      <c r="Y84" s="40" t="str">
        <f aca="false">IF(B84="","",HYPERLINK("https://data.census.gov/table/ACSDT5Y2024.B25032?g=860XX00US"&amp;B84,"B25032"))</f>
        <v/>
      </c>
      <c r="Z84" s="40" t="str">
        <f aca="false">IF(B84="","",HYPERLINK("https://censusreporter.org/profiles/86000US"&amp;B84&amp;"-"&amp;B84&amp;"/","Profile"))</f>
        <v/>
      </c>
    </row>
    <row r="85" customFormat="false" ht="15" hidden="false" customHeight="false" outlineLevel="0" collapsed="false">
      <c r="A85" s="30"/>
      <c r="B85" s="30"/>
      <c r="C85" s="30"/>
      <c r="D85" s="41"/>
      <c r="E85" s="27"/>
      <c r="F85" s="27"/>
      <c r="G85" s="27"/>
      <c r="H85" s="31"/>
      <c r="I85" s="31"/>
      <c r="J85" s="31"/>
      <c r="K85" s="41"/>
      <c r="L85" s="42"/>
      <c r="M85" s="27"/>
      <c r="N85" s="27"/>
      <c r="O85" s="41"/>
      <c r="P85" s="43"/>
      <c r="Q85" s="30"/>
      <c r="R85" s="39" t="str">
        <f aca="false">IF(OR(E85="",F85="",E85=0),"",F85/(E85/3))</f>
        <v/>
      </c>
      <c r="S85" s="24" t="str">
        <f aca="false">IF(OR(D85="",K85="",D85=0),"",K85*12/D85)</f>
        <v/>
      </c>
      <c r="T85" s="24" t="str">
        <f aca="false">IF(OR(M85="",N85=""),"",IF(M85+N85=0,"",N85/(M85+N85)))</f>
        <v/>
      </c>
      <c r="U85" s="21" t="str">
        <f aca="false">IF(B85="","",COUNTIF('Past Flips'!$B$8:$B$307,B85)+COUNTIFS('Flip Candidates'!$B$8:$B$207,B85,'Flip Candidates'!$O$8:$O$207,"Likely flip"))</f>
        <v/>
      </c>
      <c r="V85" s="24" t="str">
        <f aca="false">IF(OR(U85="",E85="",E85=0),"",U85/(E85*4))</f>
        <v/>
      </c>
      <c r="W85" s="21" t="str">
        <f aca="false">IF(B85="","",COUNTIF('Listing Watch'!$B$8:$B$307,B85))</f>
        <v/>
      </c>
      <c r="X85" s="40" t="str">
        <f aca="false">IF(B85="","",HYPERLINK("https://www.redfin.com/zipcode/"&amp;B85&amp;"/housing-market","Redfin"))</f>
        <v/>
      </c>
      <c r="Y85" s="40" t="str">
        <f aca="false">IF(B85="","",HYPERLINK("https://data.census.gov/table/ACSDT5Y2024.B25032?g=860XX00US"&amp;B85,"B25032"))</f>
        <v/>
      </c>
      <c r="Z85" s="40" t="str">
        <f aca="false">IF(B85="","",HYPERLINK("https://censusreporter.org/profiles/86000US"&amp;B85&amp;"-"&amp;B85&amp;"/","Profile"))</f>
        <v/>
      </c>
    </row>
    <row r="86" customFormat="false" ht="15" hidden="false" customHeight="false" outlineLevel="0" collapsed="false">
      <c r="A86" s="30"/>
      <c r="B86" s="30"/>
      <c r="C86" s="30"/>
      <c r="D86" s="41"/>
      <c r="E86" s="27"/>
      <c r="F86" s="27"/>
      <c r="G86" s="27"/>
      <c r="H86" s="31"/>
      <c r="I86" s="31"/>
      <c r="J86" s="31"/>
      <c r="K86" s="41"/>
      <c r="L86" s="42"/>
      <c r="M86" s="27"/>
      <c r="N86" s="27"/>
      <c r="O86" s="41"/>
      <c r="P86" s="43"/>
      <c r="Q86" s="30"/>
      <c r="R86" s="39" t="str">
        <f aca="false">IF(OR(E86="",F86="",E86=0),"",F86/(E86/3))</f>
        <v/>
      </c>
      <c r="S86" s="24" t="str">
        <f aca="false">IF(OR(D86="",K86="",D86=0),"",K86*12/D86)</f>
        <v/>
      </c>
      <c r="T86" s="24" t="str">
        <f aca="false">IF(OR(M86="",N86=""),"",IF(M86+N86=0,"",N86/(M86+N86)))</f>
        <v/>
      </c>
      <c r="U86" s="21" t="str">
        <f aca="false">IF(B86="","",COUNTIF('Past Flips'!$B$8:$B$307,B86)+COUNTIFS('Flip Candidates'!$B$8:$B$207,B86,'Flip Candidates'!$O$8:$O$207,"Likely flip"))</f>
        <v/>
      </c>
      <c r="V86" s="24" t="str">
        <f aca="false">IF(OR(U86="",E86="",E86=0),"",U86/(E86*4))</f>
        <v/>
      </c>
      <c r="W86" s="21" t="str">
        <f aca="false">IF(B86="","",COUNTIF('Listing Watch'!$B$8:$B$307,B86))</f>
        <v/>
      </c>
      <c r="X86" s="40" t="str">
        <f aca="false">IF(B86="","",HYPERLINK("https://www.redfin.com/zipcode/"&amp;B86&amp;"/housing-market","Redfin"))</f>
        <v/>
      </c>
      <c r="Y86" s="40" t="str">
        <f aca="false">IF(B86="","",HYPERLINK("https://data.census.gov/table/ACSDT5Y2024.B25032?g=860XX00US"&amp;B86,"B25032"))</f>
        <v/>
      </c>
      <c r="Z86" s="40" t="str">
        <f aca="false">IF(B86="","",HYPERLINK("https://censusreporter.org/profiles/86000US"&amp;B86&amp;"-"&amp;B86&amp;"/","Profile"))</f>
        <v/>
      </c>
    </row>
    <row r="87" customFormat="false" ht="15" hidden="false" customHeight="false" outlineLevel="0" collapsed="false">
      <c r="A87" s="30"/>
      <c r="B87" s="30"/>
      <c r="C87" s="30"/>
      <c r="D87" s="41"/>
      <c r="E87" s="27"/>
      <c r="F87" s="27"/>
      <c r="G87" s="27"/>
      <c r="H87" s="31"/>
      <c r="I87" s="31"/>
      <c r="J87" s="31"/>
      <c r="K87" s="41"/>
      <c r="L87" s="42"/>
      <c r="M87" s="27"/>
      <c r="N87" s="27"/>
      <c r="O87" s="41"/>
      <c r="P87" s="43"/>
      <c r="Q87" s="30"/>
      <c r="R87" s="39" t="str">
        <f aca="false">IF(OR(E87="",F87="",E87=0),"",F87/(E87/3))</f>
        <v/>
      </c>
      <c r="S87" s="24" t="str">
        <f aca="false">IF(OR(D87="",K87="",D87=0),"",K87*12/D87)</f>
        <v/>
      </c>
      <c r="T87" s="24" t="str">
        <f aca="false">IF(OR(M87="",N87=""),"",IF(M87+N87=0,"",N87/(M87+N87)))</f>
        <v/>
      </c>
      <c r="U87" s="21" t="str">
        <f aca="false">IF(B87="","",COUNTIF('Past Flips'!$B$8:$B$307,B87)+COUNTIFS('Flip Candidates'!$B$8:$B$207,B87,'Flip Candidates'!$O$8:$O$207,"Likely flip"))</f>
        <v/>
      </c>
      <c r="V87" s="24" t="str">
        <f aca="false">IF(OR(U87="",E87="",E87=0),"",U87/(E87*4))</f>
        <v/>
      </c>
      <c r="W87" s="21" t="str">
        <f aca="false">IF(B87="","",COUNTIF('Listing Watch'!$B$8:$B$307,B87))</f>
        <v/>
      </c>
      <c r="X87" s="40" t="str">
        <f aca="false">IF(B87="","",HYPERLINK("https://www.redfin.com/zipcode/"&amp;B87&amp;"/housing-market","Redfin"))</f>
        <v/>
      </c>
      <c r="Y87" s="40" t="str">
        <f aca="false">IF(B87="","",HYPERLINK("https://data.census.gov/table/ACSDT5Y2024.B25032?g=860XX00US"&amp;B87,"B25032"))</f>
        <v/>
      </c>
      <c r="Z87" s="40" t="str">
        <f aca="false">IF(B87="","",HYPERLINK("https://censusreporter.org/profiles/86000US"&amp;B87&amp;"-"&amp;B87&amp;"/","Profile"))</f>
        <v/>
      </c>
    </row>
    <row r="88" customFormat="false" ht="15" hidden="false" customHeight="false" outlineLevel="0" collapsed="false">
      <c r="A88" s="30"/>
      <c r="B88" s="30"/>
      <c r="C88" s="30"/>
      <c r="D88" s="41"/>
      <c r="E88" s="27"/>
      <c r="F88" s="27"/>
      <c r="G88" s="27"/>
      <c r="H88" s="31"/>
      <c r="I88" s="31"/>
      <c r="J88" s="31"/>
      <c r="K88" s="41"/>
      <c r="L88" s="42"/>
      <c r="M88" s="27"/>
      <c r="N88" s="27"/>
      <c r="O88" s="41"/>
      <c r="P88" s="43"/>
      <c r="Q88" s="30"/>
      <c r="R88" s="39" t="str">
        <f aca="false">IF(OR(E88="",F88="",E88=0),"",F88/(E88/3))</f>
        <v/>
      </c>
      <c r="S88" s="24" t="str">
        <f aca="false">IF(OR(D88="",K88="",D88=0),"",K88*12/D88)</f>
        <v/>
      </c>
      <c r="T88" s="24" t="str">
        <f aca="false">IF(OR(M88="",N88=""),"",IF(M88+N88=0,"",N88/(M88+N88)))</f>
        <v/>
      </c>
      <c r="U88" s="21" t="str">
        <f aca="false">IF(B88="","",COUNTIF('Past Flips'!$B$8:$B$307,B88)+COUNTIFS('Flip Candidates'!$B$8:$B$207,B88,'Flip Candidates'!$O$8:$O$207,"Likely flip"))</f>
        <v/>
      </c>
      <c r="V88" s="24" t="str">
        <f aca="false">IF(OR(U88="",E88="",E88=0),"",U88/(E88*4))</f>
        <v/>
      </c>
      <c r="W88" s="21" t="str">
        <f aca="false">IF(B88="","",COUNTIF('Listing Watch'!$B$8:$B$307,B88))</f>
        <v/>
      </c>
      <c r="X88" s="40" t="str">
        <f aca="false">IF(B88="","",HYPERLINK("https://www.redfin.com/zipcode/"&amp;B88&amp;"/housing-market","Redfin"))</f>
        <v/>
      </c>
      <c r="Y88" s="40" t="str">
        <f aca="false">IF(B88="","",HYPERLINK("https://data.census.gov/table/ACSDT5Y2024.B25032?g=860XX00US"&amp;B88,"B25032"))</f>
        <v/>
      </c>
      <c r="Z88" s="40" t="str">
        <f aca="false">IF(B88="","",HYPERLINK("https://censusreporter.org/profiles/86000US"&amp;B88&amp;"-"&amp;B88&amp;"/","Profile"))</f>
        <v/>
      </c>
    </row>
    <row r="89" customFormat="false" ht="15" hidden="false" customHeight="false" outlineLevel="0" collapsed="false">
      <c r="A89" s="30"/>
      <c r="B89" s="30"/>
      <c r="C89" s="30"/>
      <c r="D89" s="41"/>
      <c r="E89" s="27"/>
      <c r="F89" s="27"/>
      <c r="G89" s="27"/>
      <c r="H89" s="31"/>
      <c r="I89" s="31"/>
      <c r="J89" s="31"/>
      <c r="K89" s="41"/>
      <c r="L89" s="42"/>
      <c r="M89" s="27"/>
      <c r="N89" s="27"/>
      <c r="O89" s="41"/>
      <c r="P89" s="43"/>
      <c r="Q89" s="30"/>
      <c r="R89" s="39" t="str">
        <f aca="false">IF(OR(E89="",F89="",E89=0),"",F89/(E89/3))</f>
        <v/>
      </c>
      <c r="S89" s="24" t="str">
        <f aca="false">IF(OR(D89="",K89="",D89=0),"",K89*12/D89)</f>
        <v/>
      </c>
      <c r="T89" s="24" t="str">
        <f aca="false">IF(OR(M89="",N89=""),"",IF(M89+N89=0,"",N89/(M89+N89)))</f>
        <v/>
      </c>
      <c r="U89" s="21" t="str">
        <f aca="false">IF(B89="","",COUNTIF('Past Flips'!$B$8:$B$307,B89)+COUNTIFS('Flip Candidates'!$B$8:$B$207,B89,'Flip Candidates'!$O$8:$O$207,"Likely flip"))</f>
        <v/>
      </c>
      <c r="V89" s="24" t="str">
        <f aca="false">IF(OR(U89="",E89="",E89=0),"",U89/(E89*4))</f>
        <v/>
      </c>
      <c r="W89" s="21" t="str">
        <f aca="false">IF(B89="","",COUNTIF('Listing Watch'!$B$8:$B$307,B89))</f>
        <v/>
      </c>
      <c r="X89" s="40" t="str">
        <f aca="false">IF(B89="","",HYPERLINK("https://www.redfin.com/zipcode/"&amp;B89&amp;"/housing-market","Redfin"))</f>
        <v/>
      </c>
      <c r="Y89" s="40" t="str">
        <f aca="false">IF(B89="","",HYPERLINK("https://data.census.gov/table/ACSDT5Y2024.B25032?g=860XX00US"&amp;B89,"B25032"))</f>
        <v/>
      </c>
      <c r="Z89" s="40" t="str">
        <f aca="false">IF(B89="","",HYPERLINK("https://censusreporter.org/profiles/86000US"&amp;B89&amp;"-"&amp;B89&amp;"/","Profile"))</f>
        <v/>
      </c>
    </row>
    <row r="90" customFormat="false" ht="15" hidden="false" customHeight="false" outlineLevel="0" collapsed="false">
      <c r="A90" s="30"/>
      <c r="B90" s="30"/>
      <c r="C90" s="30"/>
      <c r="D90" s="41"/>
      <c r="E90" s="27"/>
      <c r="F90" s="27"/>
      <c r="G90" s="27"/>
      <c r="H90" s="31"/>
      <c r="I90" s="31"/>
      <c r="J90" s="31"/>
      <c r="K90" s="41"/>
      <c r="L90" s="42"/>
      <c r="M90" s="27"/>
      <c r="N90" s="27"/>
      <c r="O90" s="41"/>
      <c r="P90" s="43"/>
      <c r="Q90" s="30"/>
      <c r="R90" s="39" t="str">
        <f aca="false">IF(OR(E90="",F90="",E90=0),"",F90/(E90/3))</f>
        <v/>
      </c>
      <c r="S90" s="24" t="str">
        <f aca="false">IF(OR(D90="",K90="",D90=0),"",K90*12/D90)</f>
        <v/>
      </c>
      <c r="T90" s="24" t="str">
        <f aca="false">IF(OR(M90="",N90=""),"",IF(M90+N90=0,"",N90/(M90+N90)))</f>
        <v/>
      </c>
      <c r="U90" s="21" t="str">
        <f aca="false">IF(B90="","",COUNTIF('Past Flips'!$B$8:$B$307,B90)+COUNTIFS('Flip Candidates'!$B$8:$B$207,B90,'Flip Candidates'!$O$8:$O$207,"Likely flip"))</f>
        <v/>
      </c>
      <c r="V90" s="24" t="str">
        <f aca="false">IF(OR(U90="",E90="",E90=0),"",U90/(E90*4))</f>
        <v/>
      </c>
      <c r="W90" s="21" t="str">
        <f aca="false">IF(B90="","",COUNTIF('Listing Watch'!$B$8:$B$307,B90))</f>
        <v/>
      </c>
      <c r="X90" s="40" t="str">
        <f aca="false">IF(B90="","",HYPERLINK("https://www.redfin.com/zipcode/"&amp;B90&amp;"/housing-market","Redfin"))</f>
        <v/>
      </c>
      <c r="Y90" s="40" t="str">
        <f aca="false">IF(B90="","",HYPERLINK("https://data.census.gov/table/ACSDT5Y2024.B25032?g=860XX00US"&amp;B90,"B25032"))</f>
        <v/>
      </c>
      <c r="Z90" s="40" t="str">
        <f aca="false">IF(B90="","",HYPERLINK("https://censusreporter.org/profiles/86000US"&amp;B90&amp;"-"&amp;B90&amp;"/","Profile"))</f>
        <v/>
      </c>
    </row>
    <row r="91" customFormat="false" ht="15" hidden="false" customHeight="false" outlineLevel="0" collapsed="false">
      <c r="A91" s="30"/>
      <c r="B91" s="30"/>
      <c r="C91" s="30"/>
      <c r="D91" s="41"/>
      <c r="E91" s="27"/>
      <c r="F91" s="27"/>
      <c r="G91" s="27"/>
      <c r="H91" s="31"/>
      <c r="I91" s="31"/>
      <c r="J91" s="31"/>
      <c r="K91" s="41"/>
      <c r="L91" s="42"/>
      <c r="M91" s="27"/>
      <c r="N91" s="27"/>
      <c r="O91" s="41"/>
      <c r="P91" s="43"/>
      <c r="Q91" s="30"/>
      <c r="R91" s="39" t="str">
        <f aca="false">IF(OR(E91="",F91="",E91=0),"",F91/(E91/3))</f>
        <v/>
      </c>
      <c r="S91" s="24" t="str">
        <f aca="false">IF(OR(D91="",K91="",D91=0),"",K91*12/D91)</f>
        <v/>
      </c>
      <c r="T91" s="24" t="str">
        <f aca="false">IF(OR(M91="",N91=""),"",IF(M91+N91=0,"",N91/(M91+N91)))</f>
        <v/>
      </c>
      <c r="U91" s="21" t="str">
        <f aca="false">IF(B91="","",COUNTIF('Past Flips'!$B$8:$B$307,B91)+COUNTIFS('Flip Candidates'!$B$8:$B$207,B91,'Flip Candidates'!$O$8:$O$207,"Likely flip"))</f>
        <v/>
      </c>
      <c r="V91" s="24" t="str">
        <f aca="false">IF(OR(U91="",E91="",E91=0),"",U91/(E91*4))</f>
        <v/>
      </c>
      <c r="W91" s="21" t="str">
        <f aca="false">IF(B91="","",COUNTIF('Listing Watch'!$B$8:$B$307,B91))</f>
        <v/>
      </c>
      <c r="X91" s="40" t="str">
        <f aca="false">IF(B91="","",HYPERLINK("https://www.redfin.com/zipcode/"&amp;B91&amp;"/housing-market","Redfin"))</f>
        <v/>
      </c>
      <c r="Y91" s="40" t="str">
        <f aca="false">IF(B91="","",HYPERLINK("https://data.census.gov/table/ACSDT5Y2024.B25032?g=860XX00US"&amp;B91,"B25032"))</f>
        <v/>
      </c>
      <c r="Z91" s="40" t="str">
        <f aca="false">IF(B91="","",HYPERLINK("https://censusreporter.org/profiles/86000US"&amp;B91&amp;"-"&amp;B91&amp;"/","Profile"))</f>
        <v/>
      </c>
    </row>
    <row r="92" customFormat="false" ht="15" hidden="false" customHeight="false" outlineLevel="0" collapsed="false">
      <c r="A92" s="30"/>
      <c r="B92" s="30"/>
      <c r="C92" s="30"/>
      <c r="D92" s="41"/>
      <c r="E92" s="27"/>
      <c r="F92" s="27"/>
      <c r="G92" s="27"/>
      <c r="H92" s="31"/>
      <c r="I92" s="31"/>
      <c r="J92" s="31"/>
      <c r="K92" s="41"/>
      <c r="L92" s="42"/>
      <c r="M92" s="27"/>
      <c r="N92" s="27"/>
      <c r="O92" s="41"/>
      <c r="P92" s="43"/>
      <c r="Q92" s="30"/>
      <c r="R92" s="39" t="str">
        <f aca="false">IF(OR(E92="",F92="",E92=0),"",F92/(E92/3))</f>
        <v/>
      </c>
      <c r="S92" s="24" t="str">
        <f aca="false">IF(OR(D92="",K92="",D92=0),"",K92*12/D92)</f>
        <v/>
      </c>
      <c r="T92" s="24" t="str">
        <f aca="false">IF(OR(M92="",N92=""),"",IF(M92+N92=0,"",N92/(M92+N92)))</f>
        <v/>
      </c>
      <c r="U92" s="21" t="str">
        <f aca="false">IF(B92="","",COUNTIF('Past Flips'!$B$8:$B$307,B92)+COUNTIFS('Flip Candidates'!$B$8:$B$207,B92,'Flip Candidates'!$O$8:$O$207,"Likely flip"))</f>
        <v/>
      </c>
      <c r="V92" s="24" t="str">
        <f aca="false">IF(OR(U92="",E92="",E92=0),"",U92/(E92*4))</f>
        <v/>
      </c>
      <c r="W92" s="21" t="str">
        <f aca="false">IF(B92="","",COUNTIF('Listing Watch'!$B$8:$B$307,B92))</f>
        <v/>
      </c>
      <c r="X92" s="40" t="str">
        <f aca="false">IF(B92="","",HYPERLINK("https://www.redfin.com/zipcode/"&amp;B92&amp;"/housing-market","Redfin"))</f>
        <v/>
      </c>
      <c r="Y92" s="40" t="str">
        <f aca="false">IF(B92="","",HYPERLINK("https://data.census.gov/table/ACSDT5Y2024.B25032?g=860XX00US"&amp;B92,"B25032"))</f>
        <v/>
      </c>
      <c r="Z92" s="40" t="str">
        <f aca="false">IF(B92="","",HYPERLINK("https://censusreporter.org/profiles/86000US"&amp;B92&amp;"-"&amp;B92&amp;"/","Profile"))</f>
        <v/>
      </c>
    </row>
    <row r="93" customFormat="false" ht="15" hidden="false" customHeight="false" outlineLevel="0" collapsed="false">
      <c r="A93" s="30"/>
      <c r="B93" s="30"/>
      <c r="C93" s="30"/>
      <c r="D93" s="41"/>
      <c r="E93" s="27"/>
      <c r="F93" s="27"/>
      <c r="G93" s="27"/>
      <c r="H93" s="31"/>
      <c r="I93" s="31"/>
      <c r="J93" s="31"/>
      <c r="K93" s="41"/>
      <c r="L93" s="42"/>
      <c r="M93" s="27"/>
      <c r="N93" s="27"/>
      <c r="O93" s="41"/>
      <c r="P93" s="43"/>
      <c r="Q93" s="30"/>
      <c r="R93" s="39" t="str">
        <f aca="false">IF(OR(E93="",F93="",E93=0),"",F93/(E93/3))</f>
        <v/>
      </c>
      <c r="S93" s="24" t="str">
        <f aca="false">IF(OR(D93="",K93="",D93=0),"",K93*12/D93)</f>
        <v/>
      </c>
      <c r="T93" s="24" t="str">
        <f aca="false">IF(OR(M93="",N93=""),"",IF(M93+N93=0,"",N93/(M93+N93)))</f>
        <v/>
      </c>
      <c r="U93" s="21" t="str">
        <f aca="false">IF(B93="","",COUNTIF('Past Flips'!$B$8:$B$307,B93)+COUNTIFS('Flip Candidates'!$B$8:$B$207,B93,'Flip Candidates'!$O$8:$O$207,"Likely flip"))</f>
        <v/>
      </c>
      <c r="V93" s="24" t="str">
        <f aca="false">IF(OR(U93="",E93="",E93=0),"",U93/(E93*4))</f>
        <v/>
      </c>
      <c r="W93" s="21" t="str">
        <f aca="false">IF(B93="","",COUNTIF('Listing Watch'!$B$8:$B$307,B93))</f>
        <v/>
      </c>
      <c r="X93" s="40" t="str">
        <f aca="false">IF(B93="","",HYPERLINK("https://www.redfin.com/zipcode/"&amp;B93&amp;"/housing-market","Redfin"))</f>
        <v/>
      </c>
      <c r="Y93" s="40" t="str">
        <f aca="false">IF(B93="","",HYPERLINK("https://data.census.gov/table/ACSDT5Y2024.B25032?g=860XX00US"&amp;B93,"B25032"))</f>
        <v/>
      </c>
      <c r="Z93" s="40" t="str">
        <f aca="false">IF(B93="","",HYPERLINK("https://censusreporter.org/profiles/86000US"&amp;B93&amp;"-"&amp;B93&amp;"/","Profile"))</f>
        <v/>
      </c>
    </row>
    <row r="94" customFormat="false" ht="15" hidden="false" customHeight="false" outlineLevel="0" collapsed="false">
      <c r="A94" s="30"/>
      <c r="B94" s="30"/>
      <c r="C94" s="30"/>
      <c r="D94" s="41"/>
      <c r="E94" s="27"/>
      <c r="F94" s="27"/>
      <c r="G94" s="27"/>
      <c r="H94" s="31"/>
      <c r="I94" s="31"/>
      <c r="J94" s="31"/>
      <c r="K94" s="41"/>
      <c r="L94" s="42"/>
      <c r="M94" s="27"/>
      <c r="N94" s="27"/>
      <c r="O94" s="41"/>
      <c r="P94" s="43"/>
      <c r="Q94" s="30"/>
      <c r="R94" s="39" t="str">
        <f aca="false">IF(OR(E94="",F94="",E94=0),"",F94/(E94/3))</f>
        <v/>
      </c>
      <c r="S94" s="24" t="str">
        <f aca="false">IF(OR(D94="",K94="",D94=0),"",K94*12/D94)</f>
        <v/>
      </c>
      <c r="T94" s="24" t="str">
        <f aca="false">IF(OR(M94="",N94=""),"",IF(M94+N94=0,"",N94/(M94+N94)))</f>
        <v/>
      </c>
      <c r="U94" s="21" t="str">
        <f aca="false">IF(B94="","",COUNTIF('Past Flips'!$B$8:$B$307,B94)+COUNTIFS('Flip Candidates'!$B$8:$B$207,B94,'Flip Candidates'!$O$8:$O$207,"Likely flip"))</f>
        <v/>
      </c>
      <c r="V94" s="24" t="str">
        <f aca="false">IF(OR(U94="",E94="",E94=0),"",U94/(E94*4))</f>
        <v/>
      </c>
      <c r="W94" s="21" t="str">
        <f aca="false">IF(B94="","",COUNTIF('Listing Watch'!$B$8:$B$307,B94))</f>
        <v/>
      </c>
      <c r="X94" s="40" t="str">
        <f aca="false">IF(B94="","",HYPERLINK("https://www.redfin.com/zipcode/"&amp;B94&amp;"/housing-market","Redfin"))</f>
        <v/>
      </c>
      <c r="Y94" s="40" t="str">
        <f aca="false">IF(B94="","",HYPERLINK("https://data.census.gov/table/ACSDT5Y2024.B25032?g=860XX00US"&amp;B94,"B25032"))</f>
        <v/>
      </c>
      <c r="Z94" s="40" t="str">
        <f aca="false">IF(B94="","",HYPERLINK("https://censusreporter.org/profiles/86000US"&amp;B94&amp;"-"&amp;B94&amp;"/","Profile"))</f>
        <v/>
      </c>
    </row>
    <row r="95" customFormat="false" ht="15" hidden="false" customHeight="false" outlineLevel="0" collapsed="false">
      <c r="A95" s="30"/>
      <c r="B95" s="30"/>
      <c r="C95" s="30"/>
      <c r="D95" s="41"/>
      <c r="E95" s="27"/>
      <c r="F95" s="27"/>
      <c r="G95" s="27"/>
      <c r="H95" s="31"/>
      <c r="I95" s="31"/>
      <c r="J95" s="31"/>
      <c r="K95" s="41"/>
      <c r="L95" s="42"/>
      <c r="M95" s="27"/>
      <c r="N95" s="27"/>
      <c r="O95" s="41"/>
      <c r="P95" s="43"/>
      <c r="Q95" s="30"/>
      <c r="R95" s="39" t="str">
        <f aca="false">IF(OR(E95="",F95="",E95=0),"",F95/(E95/3))</f>
        <v/>
      </c>
      <c r="S95" s="24" t="str">
        <f aca="false">IF(OR(D95="",K95="",D95=0),"",K95*12/D95)</f>
        <v/>
      </c>
      <c r="T95" s="24" t="str">
        <f aca="false">IF(OR(M95="",N95=""),"",IF(M95+N95=0,"",N95/(M95+N95)))</f>
        <v/>
      </c>
      <c r="U95" s="21" t="str">
        <f aca="false">IF(B95="","",COUNTIF('Past Flips'!$B$8:$B$307,B95)+COUNTIFS('Flip Candidates'!$B$8:$B$207,B95,'Flip Candidates'!$O$8:$O$207,"Likely flip"))</f>
        <v/>
      </c>
      <c r="V95" s="24" t="str">
        <f aca="false">IF(OR(U95="",E95="",E95=0),"",U95/(E95*4))</f>
        <v/>
      </c>
      <c r="W95" s="21" t="str">
        <f aca="false">IF(B95="","",COUNTIF('Listing Watch'!$B$8:$B$307,B95))</f>
        <v/>
      </c>
      <c r="X95" s="40" t="str">
        <f aca="false">IF(B95="","",HYPERLINK("https://www.redfin.com/zipcode/"&amp;B95&amp;"/housing-market","Redfin"))</f>
        <v/>
      </c>
      <c r="Y95" s="40" t="str">
        <f aca="false">IF(B95="","",HYPERLINK("https://data.census.gov/table/ACSDT5Y2024.B25032?g=860XX00US"&amp;B95,"B25032"))</f>
        <v/>
      </c>
      <c r="Z95" s="40" t="str">
        <f aca="false">IF(B95="","",HYPERLINK("https://censusreporter.org/profiles/86000US"&amp;B95&amp;"-"&amp;B95&amp;"/","Profile"))</f>
        <v/>
      </c>
    </row>
    <row r="96" customFormat="false" ht="15" hidden="false" customHeight="false" outlineLevel="0" collapsed="false">
      <c r="A96" s="30"/>
      <c r="B96" s="30"/>
      <c r="C96" s="30"/>
      <c r="D96" s="41"/>
      <c r="E96" s="27"/>
      <c r="F96" s="27"/>
      <c r="G96" s="27"/>
      <c r="H96" s="31"/>
      <c r="I96" s="31"/>
      <c r="J96" s="31"/>
      <c r="K96" s="41"/>
      <c r="L96" s="42"/>
      <c r="M96" s="27"/>
      <c r="N96" s="27"/>
      <c r="O96" s="41"/>
      <c r="P96" s="43"/>
      <c r="Q96" s="30"/>
      <c r="R96" s="39" t="str">
        <f aca="false">IF(OR(E96="",F96="",E96=0),"",F96/(E96/3))</f>
        <v/>
      </c>
      <c r="S96" s="24" t="str">
        <f aca="false">IF(OR(D96="",K96="",D96=0),"",K96*12/D96)</f>
        <v/>
      </c>
      <c r="T96" s="24" t="str">
        <f aca="false">IF(OR(M96="",N96=""),"",IF(M96+N96=0,"",N96/(M96+N96)))</f>
        <v/>
      </c>
      <c r="U96" s="21" t="str">
        <f aca="false">IF(B96="","",COUNTIF('Past Flips'!$B$8:$B$307,B96)+COUNTIFS('Flip Candidates'!$B$8:$B$207,B96,'Flip Candidates'!$O$8:$O$207,"Likely flip"))</f>
        <v/>
      </c>
      <c r="V96" s="24" t="str">
        <f aca="false">IF(OR(U96="",E96="",E96=0),"",U96/(E96*4))</f>
        <v/>
      </c>
      <c r="W96" s="21" t="str">
        <f aca="false">IF(B96="","",COUNTIF('Listing Watch'!$B$8:$B$307,B96))</f>
        <v/>
      </c>
      <c r="X96" s="40" t="str">
        <f aca="false">IF(B96="","",HYPERLINK("https://www.redfin.com/zipcode/"&amp;B96&amp;"/housing-market","Redfin"))</f>
        <v/>
      </c>
      <c r="Y96" s="40" t="str">
        <f aca="false">IF(B96="","",HYPERLINK("https://data.census.gov/table/ACSDT5Y2024.B25032?g=860XX00US"&amp;B96,"B25032"))</f>
        <v/>
      </c>
      <c r="Z96" s="40" t="str">
        <f aca="false">IF(B96="","",HYPERLINK("https://censusreporter.org/profiles/86000US"&amp;B96&amp;"-"&amp;B96&amp;"/","Profile"))</f>
        <v/>
      </c>
    </row>
    <row r="97" customFormat="false" ht="15" hidden="false" customHeight="false" outlineLevel="0" collapsed="false">
      <c r="A97" s="30"/>
      <c r="B97" s="30"/>
      <c r="C97" s="30"/>
      <c r="D97" s="41"/>
      <c r="E97" s="27"/>
      <c r="F97" s="27"/>
      <c r="G97" s="27"/>
      <c r="H97" s="31"/>
      <c r="I97" s="31"/>
      <c r="J97" s="31"/>
      <c r="K97" s="41"/>
      <c r="L97" s="42"/>
      <c r="M97" s="27"/>
      <c r="N97" s="27"/>
      <c r="O97" s="41"/>
      <c r="P97" s="43"/>
      <c r="Q97" s="30"/>
      <c r="R97" s="39" t="str">
        <f aca="false">IF(OR(E97="",F97="",E97=0),"",F97/(E97/3))</f>
        <v/>
      </c>
      <c r="S97" s="24" t="str">
        <f aca="false">IF(OR(D97="",K97="",D97=0),"",K97*12/D97)</f>
        <v/>
      </c>
      <c r="T97" s="24" t="str">
        <f aca="false">IF(OR(M97="",N97=""),"",IF(M97+N97=0,"",N97/(M97+N97)))</f>
        <v/>
      </c>
      <c r="U97" s="21" t="str">
        <f aca="false">IF(B97="","",COUNTIF('Past Flips'!$B$8:$B$307,B97)+COUNTIFS('Flip Candidates'!$B$8:$B$207,B97,'Flip Candidates'!$O$8:$O$207,"Likely flip"))</f>
        <v/>
      </c>
      <c r="V97" s="24" t="str">
        <f aca="false">IF(OR(U97="",E97="",E97=0),"",U97/(E97*4))</f>
        <v/>
      </c>
      <c r="W97" s="21" t="str">
        <f aca="false">IF(B97="","",COUNTIF('Listing Watch'!$B$8:$B$307,B97))</f>
        <v/>
      </c>
      <c r="X97" s="40" t="str">
        <f aca="false">IF(B97="","",HYPERLINK("https://www.redfin.com/zipcode/"&amp;B97&amp;"/housing-market","Redfin"))</f>
        <v/>
      </c>
      <c r="Y97" s="40" t="str">
        <f aca="false">IF(B97="","",HYPERLINK("https://data.census.gov/table/ACSDT5Y2024.B25032?g=860XX00US"&amp;B97,"B25032"))</f>
        <v/>
      </c>
      <c r="Z97" s="40" t="str">
        <f aca="false">IF(B97="","",HYPERLINK("https://censusreporter.org/profiles/86000US"&amp;B97&amp;"-"&amp;B97&amp;"/","Profile"))</f>
        <v/>
      </c>
    </row>
    <row r="98" customFormat="false" ht="15" hidden="false" customHeight="false" outlineLevel="0" collapsed="false">
      <c r="A98" s="30"/>
      <c r="B98" s="30"/>
      <c r="C98" s="30"/>
      <c r="D98" s="41"/>
      <c r="E98" s="27"/>
      <c r="F98" s="27"/>
      <c r="G98" s="27"/>
      <c r="H98" s="31"/>
      <c r="I98" s="31"/>
      <c r="J98" s="31"/>
      <c r="K98" s="41"/>
      <c r="L98" s="42"/>
      <c r="M98" s="27"/>
      <c r="N98" s="27"/>
      <c r="O98" s="41"/>
      <c r="P98" s="43"/>
      <c r="Q98" s="30"/>
      <c r="R98" s="39" t="str">
        <f aca="false">IF(OR(E98="",F98="",E98=0),"",F98/(E98/3))</f>
        <v/>
      </c>
      <c r="S98" s="24" t="str">
        <f aca="false">IF(OR(D98="",K98="",D98=0),"",K98*12/D98)</f>
        <v/>
      </c>
      <c r="T98" s="24" t="str">
        <f aca="false">IF(OR(M98="",N98=""),"",IF(M98+N98=0,"",N98/(M98+N98)))</f>
        <v/>
      </c>
      <c r="U98" s="21" t="str">
        <f aca="false">IF(B98="","",COUNTIF('Past Flips'!$B$8:$B$307,B98)+COUNTIFS('Flip Candidates'!$B$8:$B$207,B98,'Flip Candidates'!$O$8:$O$207,"Likely flip"))</f>
        <v/>
      </c>
      <c r="V98" s="24" t="str">
        <f aca="false">IF(OR(U98="",E98="",E98=0),"",U98/(E98*4))</f>
        <v/>
      </c>
      <c r="W98" s="21" t="str">
        <f aca="false">IF(B98="","",COUNTIF('Listing Watch'!$B$8:$B$307,B98))</f>
        <v/>
      </c>
      <c r="X98" s="40" t="str">
        <f aca="false">IF(B98="","",HYPERLINK("https://www.redfin.com/zipcode/"&amp;B98&amp;"/housing-market","Redfin"))</f>
        <v/>
      </c>
      <c r="Y98" s="40" t="str">
        <f aca="false">IF(B98="","",HYPERLINK("https://data.census.gov/table/ACSDT5Y2024.B25032?g=860XX00US"&amp;B98,"B25032"))</f>
        <v/>
      </c>
      <c r="Z98" s="40" t="str">
        <f aca="false">IF(B98="","",HYPERLINK("https://censusreporter.org/profiles/86000US"&amp;B98&amp;"-"&amp;B98&amp;"/","Profile"))</f>
        <v/>
      </c>
    </row>
    <row r="99" customFormat="false" ht="15" hidden="false" customHeight="false" outlineLevel="0" collapsed="false">
      <c r="A99" s="30"/>
      <c r="B99" s="30"/>
      <c r="C99" s="30"/>
      <c r="D99" s="41"/>
      <c r="E99" s="27"/>
      <c r="F99" s="27"/>
      <c r="G99" s="27"/>
      <c r="H99" s="31"/>
      <c r="I99" s="31"/>
      <c r="J99" s="31"/>
      <c r="K99" s="41"/>
      <c r="L99" s="42"/>
      <c r="M99" s="27"/>
      <c r="N99" s="27"/>
      <c r="O99" s="41"/>
      <c r="P99" s="43"/>
      <c r="Q99" s="30"/>
      <c r="R99" s="39" t="str">
        <f aca="false">IF(OR(E99="",F99="",E99=0),"",F99/(E99/3))</f>
        <v/>
      </c>
      <c r="S99" s="24" t="str">
        <f aca="false">IF(OR(D99="",K99="",D99=0),"",K99*12/D99)</f>
        <v/>
      </c>
      <c r="T99" s="24" t="str">
        <f aca="false">IF(OR(M99="",N99=""),"",IF(M99+N99=0,"",N99/(M99+N99)))</f>
        <v/>
      </c>
      <c r="U99" s="21" t="str">
        <f aca="false">IF(B99="","",COUNTIF('Past Flips'!$B$8:$B$307,B99)+COUNTIFS('Flip Candidates'!$B$8:$B$207,B99,'Flip Candidates'!$O$8:$O$207,"Likely flip"))</f>
        <v/>
      </c>
      <c r="V99" s="24" t="str">
        <f aca="false">IF(OR(U99="",E99="",E99=0),"",U99/(E99*4))</f>
        <v/>
      </c>
      <c r="W99" s="21" t="str">
        <f aca="false">IF(B99="","",COUNTIF('Listing Watch'!$B$8:$B$307,B99))</f>
        <v/>
      </c>
      <c r="X99" s="40" t="str">
        <f aca="false">IF(B99="","",HYPERLINK("https://www.redfin.com/zipcode/"&amp;B99&amp;"/housing-market","Redfin"))</f>
        <v/>
      </c>
      <c r="Y99" s="40" t="str">
        <f aca="false">IF(B99="","",HYPERLINK("https://data.census.gov/table/ACSDT5Y2024.B25032?g=860XX00US"&amp;B99,"B25032"))</f>
        <v/>
      </c>
      <c r="Z99" s="40" t="str">
        <f aca="false">IF(B99="","",HYPERLINK("https://censusreporter.org/profiles/86000US"&amp;B99&amp;"-"&amp;B99&amp;"/","Profile"))</f>
        <v/>
      </c>
    </row>
    <row r="100" customFormat="false" ht="15" hidden="false" customHeight="false" outlineLevel="0" collapsed="false">
      <c r="A100" s="30"/>
      <c r="B100" s="30"/>
      <c r="C100" s="30"/>
      <c r="D100" s="41"/>
      <c r="E100" s="27"/>
      <c r="F100" s="27"/>
      <c r="G100" s="27"/>
      <c r="H100" s="31"/>
      <c r="I100" s="31"/>
      <c r="J100" s="31"/>
      <c r="K100" s="41"/>
      <c r="L100" s="42"/>
      <c r="M100" s="27"/>
      <c r="N100" s="27"/>
      <c r="O100" s="41"/>
      <c r="P100" s="43"/>
      <c r="Q100" s="30"/>
      <c r="R100" s="39" t="str">
        <f aca="false">IF(OR(E100="",F100="",E100=0),"",F100/(E100/3))</f>
        <v/>
      </c>
      <c r="S100" s="24" t="str">
        <f aca="false">IF(OR(D100="",K100="",D100=0),"",K100*12/D100)</f>
        <v/>
      </c>
      <c r="T100" s="24" t="str">
        <f aca="false">IF(OR(M100="",N100=""),"",IF(M100+N100=0,"",N100/(M100+N100)))</f>
        <v/>
      </c>
      <c r="U100" s="21" t="str">
        <f aca="false">IF(B100="","",COUNTIF('Past Flips'!$B$8:$B$307,B100)+COUNTIFS('Flip Candidates'!$B$8:$B$207,B100,'Flip Candidates'!$O$8:$O$207,"Likely flip"))</f>
        <v/>
      </c>
      <c r="V100" s="24" t="str">
        <f aca="false">IF(OR(U100="",E100="",E100=0),"",U100/(E100*4))</f>
        <v/>
      </c>
      <c r="W100" s="21" t="str">
        <f aca="false">IF(B100="","",COUNTIF('Listing Watch'!$B$8:$B$307,B100))</f>
        <v/>
      </c>
      <c r="X100" s="40" t="str">
        <f aca="false">IF(B100="","",HYPERLINK("https://www.redfin.com/zipcode/"&amp;B100&amp;"/housing-market","Redfin"))</f>
        <v/>
      </c>
      <c r="Y100" s="40" t="str">
        <f aca="false">IF(B100="","",HYPERLINK("https://data.census.gov/table/ACSDT5Y2024.B25032?g=860XX00US"&amp;B100,"B25032"))</f>
        <v/>
      </c>
      <c r="Z100" s="40" t="str">
        <f aca="false">IF(B100="","",HYPERLINK("https://censusreporter.org/profiles/86000US"&amp;B100&amp;"-"&amp;B100&amp;"/","Profile"))</f>
        <v/>
      </c>
    </row>
    <row r="101" customFormat="false" ht="15" hidden="false" customHeight="false" outlineLevel="0" collapsed="false">
      <c r="A101" s="30"/>
      <c r="B101" s="30"/>
      <c r="C101" s="30"/>
      <c r="D101" s="41"/>
      <c r="E101" s="27"/>
      <c r="F101" s="27"/>
      <c r="G101" s="27"/>
      <c r="H101" s="31"/>
      <c r="I101" s="31"/>
      <c r="J101" s="31"/>
      <c r="K101" s="41"/>
      <c r="L101" s="42"/>
      <c r="M101" s="27"/>
      <c r="N101" s="27"/>
      <c r="O101" s="41"/>
      <c r="P101" s="43"/>
      <c r="Q101" s="30"/>
      <c r="R101" s="39" t="str">
        <f aca="false">IF(OR(E101="",F101="",E101=0),"",F101/(E101/3))</f>
        <v/>
      </c>
      <c r="S101" s="24" t="str">
        <f aca="false">IF(OR(D101="",K101="",D101=0),"",K101*12/D101)</f>
        <v/>
      </c>
      <c r="T101" s="24" t="str">
        <f aca="false">IF(OR(M101="",N101=""),"",IF(M101+N101=0,"",N101/(M101+N101)))</f>
        <v/>
      </c>
      <c r="U101" s="21" t="str">
        <f aca="false">IF(B101="","",COUNTIF('Past Flips'!$B$8:$B$307,B101)+COUNTIFS('Flip Candidates'!$B$8:$B$207,B101,'Flip Candidates'!$O$8:$O$207,"Likely flip"))</f>
        <v/>
      </c>
      <c r="V101" s="24" t="str">
        <f aca="false">IF(OR(U101="",E101="",E101=0),"",U101/(E101*4))</f>
        <v/>
      </c>
      <c r="W101" s="21" t="str">
        <f aca="false">IF(B101="","",COUNTIF('Listing Watch'!$B$8:$B$307,B101))</f>
        <v/>
      </c>
      <c r="X101" s="40" t="str">
        <f aca="false">IF(B101="","",HYPERLINK("https://www.redfin.com/zipcode/"&amp;B101&amp;"/housing-market","Redfin"))</f>
        <v/>
      </c>
      <c r="Y101" s="40" t="str">
        <f aca="false">IF(B101="","",HYPERLINK("https://data.census.gov/table/ACSDT5Y2024.B25032?g=860XX00US"&amp;B101,"B25032"))</f>
        <v/>
      </c>
      <c r="Z101" s="40" t="str">
        <f aca="false">IF(B101="","",HYPERLINK("https://censusreporter.org/profiles/86000US"&amp;B101&amp;"-"&amp;B101&amp;"/","Profile"))</f>
        <v/>
      </c>
    </row>
    <row r="102" customFormat="false" ht="15" hidden="false" customHeight="false" outlineLevel="0" collapsed="false">
      <c r="A102" s="30"/>
      <c r="B102" s="30"/>
      <c r="C102" s="30"/>
      <c r="D102" s="41"/>
      <c r="E102" s="27"/>
      <c r="F102" s="27"/>
      <c r="G102" s="27"/>
      <c r="H102" s="31"/>
      <c r="I102" s="31"/>
      <c r="J102" s="31"/>
      <c r="K102" s="41"/>
      <c r="L102" s="42"/>
      <c r="M102" s="27"/>
      <c r="N102" s="27"/>
      <c r="O102" s="41"/>
      <c r="P102" s="43"/>
      <c r="Q102" s="30"/>
      <c r="R102" s="39" t="str">
        <f aca="false">IF(OR(E102="",F102="",E102=0),"",F102/(E102/3))</f>
        <v/>
      </c>
      <c r="S102" s="24" t="str">
        <f aca="false">IF(OR(D102="",K102="",D102=0),"",K102*12/D102)</f>
        <v/>
      </c>
      <c r="T102" s="24" t="str">
        <f aca="false">IF(OR(M102="",N102=""),"",IF(M102+N102=0,"",N102/(M102+N102)))</f>
        <v/>
      </c>
      <c r="U102" s="21" t="str">
        <f aca="false">IF(B102="","",COUNTIF('Past Flips'!$B$8:$B$307,B102)+COUNTIFS('Flip Candidates'!$B$8:$B$207,B102,'Flip Candidates'!$O$8:$O$207,"Likely flip"))</f>
        <v/>
      </c>
      <c r="V102" s="24" t="str">
        <f aca="false">IF(OR(U102="",E102="",E102=0),"",U102/(E102*4))</f>
        <v/>
      </c>
      <c r="W102" s="21" t="str">
        <f aca="false">IF(B102="","",COUNTIF('Listing Watch'!$B$8:$B$307,B102))</f>
        <v/>
      </c>
      <c r="X102" s="40" t="str">
        <f aca="false">IF(B102="","",HYPERLINK("https://www.redfin.com/zipcode/"&amp;B102&amp;"/housing-market","Redfin"))</f>
        <v/>
      </c>
      <c r="Y102" s="40" t="str">
        <f aca="false">IF(B102="","",HYPERLINK("https://data.census.gov/table/ACSDT5Y2024.B25032?g=860XX00US"&amp;B102,"B25032"))</f>
        <v/>
      </c>
      <c r="Z102" s="40" t="str">
        <f aca="false">IF(B102="","",HYPERLINK("https://censusreporter.org/profiles/86000US"&amp;B102&amp;"-"&amp;B102&amp;"/","Profile"))</f>
        <v/>
      </c>
    </row>
    <row r="103" customFormat="false" ht="15" hidden="false" customHeight="false" outlineLevel="0" collapsed="false">
      <c r="A103" s="30"/>
      <c r="B103" s="30"/>
      <c r="C103" s="30"/>
      <c r="D103" s="41"/>
      <c r="E103" s="27"/>
      <c r="F103" s="27"/>
      <c r="G103" s="27"/>
      <c r="H103" s="31"/>
      <c r="I103" s="31"/>
      <c r="J103" s="31"/>
      <c r="K103" s="41"/>
      <c r="L103" s="42"/>
      <c r="M103" s="27"/>
      <c r="N103" s="27"/>
      <c r="O103" s="41"/>
      <c r="P103" s="43"/>
      <c r="Q103" s="30"/>
      <c r="R103" s="39" t="str">
        <f aca="false">IF(OR(E103="",F103="",E103=0),"",F103/(E103/3))</f>
        <v/>
      </c>
      <c r="S103" s="24" t="str">
        <f aca="false">IF(OR(D103="",K103="",D103=0),"",K103*12/D103)</f>
        <v/>
      </c>
      <c r="T103" s="24" t="str">
        <f aca="false">IF(OR(M103="",N103=""),"",IF(M103+N103=0,"",N103/(M103+N103)))</f>
        <v/>
      </c>
      <c r="U103" s="21" t="str">
        <f aca="false">IF(B103="","",COUNTIF('Past Flips'!$B$8:$B$307,B103)+COUNTIFS('Flip Candidates'!$B$8:$B$207,B103,'Flip Candidates'!$O$8:$O$207,"Likely flip"))</f>
        <v/>
      </c>
      <c r="V103" s="24" t="str">
        <f aca="false">IF(OR(U103="",E103="",E103=0),"",U103/(E103*4))</f>
        <v/>
      </c>
      <c r="W103" s="21" t="str">
        <f aca="false">IF(B103="","",COUNTIF('Listing Watch'!$B$8:$B$307,B103))</f>
        <v/>
      </c>
      <c r="X103" s="40" t="str">
        <f aca="false">IF(B103="","",HYPERLINK("https://www.redfin.com/zipcode/"&amp;B103&amp;"/housing-market","Redfin"))</f>
        <v/>
      </c>
      <c r="Y103" s="40" t="str">
        <f aca="false">IF(B103="","",HYPERLINK("https://data.census.gov/table/ACSDT5Y2024.B25032?g=860XX00US"&amp;B103,"B25032"))</f>
        <v/>
      </c>
      <c r="Z103" s="40" t="str">
        <f aca="false">IF(B103="","",HYPERLINK("https://censusreporter.org/profiles/86000US"&amp;B103&amp;"-"&amp;B103&amp;"/","Profile"))</f>
        <v/>
      </c>
    </row>
    <row r="104" customFormat="false" ht="15" hidden="false" customHeight="false" outlineLevel="0" collapsed="false">
      <c r="A104" s="30"/>
      <c r="B104" s="30"/>
      <c r="C104" s="30"/>
      <c r="D104" s="41"/>
      <c r="E104" s="27"/>
      <c r="F104" s="27"/>
      <c r="G104" s="27"/>
      <c r="H104" s="31"/>
      <c r="I104" s="31"/>
      <c r="J104" s="31"/>
      <c r="K104" s="41"/>
      <c r="L104" s="42"/>
      <c r="M104" s="27"/>
      <c r="N104" s="27"/>
      <c r="O104" s="41"/>
      <c r="P104" s="43"/>
      <c r="Q104" s="30"/>
      <c r="R104" s="39" t="str">
        <f aca="false">IF(OR(E104="",F104="",E104=0),"",F104/(E104/3))</f>
        <v/>
      </c>
      <c r="S104" s="24" t="str">
        <f aca="false">IF(OR(D104="",K104="",D104=0),"",K104*12/D104)</f>
        <v/>
      </c>
      <c r="T104" s="24" t="str">
        <f aca="false">IF(OR(M104="",N104=""),"",IF(M104+N104=0,"",N104/(M104+N104)))</f>
        <v/>
      </c>
      <c r="U104" s="21" t="str">
        <f aca="false">IF(B104="","",COUNTIF('Past Flips'!$B$8:$B$307,B104)+COUNTIFS('Flip Candidates'!$B$8:$B$207,B104,'Flip Candidates'!$O$8:$O$207,"Likely flip"))</f>
        <v/>
      </c>
      <c r="V104" s="24" t="str">
        <f aca="false">IF(OR(U104="",E104="",E104=0),"",U104/(E104*4))</f>
        <v/>
      </c>
      <c r="W104" s="21" t="str">
        <f aca="false">IF(B104="","",COUNTIF('Listing Watch'!$B$8:$B$307,B104))</f>
        <v/>
      </c>
      <c r="X104" s="40" t="str">
        <f aca="false">IF(B104="","",HYPERLINK("https://www.redfin.com/zipcode/"&amp;B104&amp;"/housing-market","Redfin"))</f>
        <v/>
      </c>
      <c r="Y104" s="40" t="str">
        <f aca="false">IF(B104="","",HYPERLINK("https://data.census.gov/table/ACSDT5Y2024.B25032?g=860XX00US"&amp;B104,"B25032"))</f>
        <v/>
      </c>
      <c r="Z104" s="40" t="str">
        <f aca="false">IF(B104="","",HYPERLINK("https://censusreporter.org/profiles/86000US"&amp;B104&amp;"-"&amp;B104&amp;"/","Profile"))</f>
        <v/>
      </c>
    </row>
    <row r="105" customFormat="false" ht="15" hidden="false" customHeight="false" outlineLevel="0" collapsed="false">
      <c r="A105" s="30"/>
      <c r="B105" s="30"/>
      <c r="C105" s="30"/>
      <c r="D105" s="41"/>
      <c r="E105" s="27"/>
      <c r="F105" s="27"/>
      <c r="G105" s="27"/>
      <c r="H105" s="31"/>
      <c r="I105" s="31"/>
      <c r="J105" s="31"/>
      <c r="K105" s="41"/>
      <c r="L105" s="42"/>
      <c r="M105" s="27"/>
      <c r="N105" s="27"/>
      <c r="O105" s="41"/>
      <c r="P105" s="43"/>
      <c r="Q105" s="30"/>
      <c r="R105" s="39" t="str">
        <f aca="false">IF(OR(E105="",F105="",E105=0),"",F105/(E105/3))</f>
        <v/>
      </c>
      <c r="S105" s="24" t="str">
        <f aca="false">IF(OR(D105="",K105="",D105=0),"",K105*12/D105)</f>
        <v/>
      </c>
      <c r="T105" s="24" t="str">
        <f aca="false">IF(OR(M105="",N105=""),"",IF(M105+N105=0,"",N105/(M105+N105)))</f>
        <v/>
      </c>
      <c r="U105" s="21" t="str">
        <f aca="false">IF(B105="","",COUNTIF('Past Flips'!$B$8:$B$307,B105)+COUNTIFS('Flip Candidates'!$B$8:$B$207,B105,'Flip Candidates'!$O$8:$O$207,"Likely flip"))</f>
        <v/>
      </c>
      <c r="V105" s="24" t="str">
        <f aca="false">IF(OR(U105="",E105="",E105=0),"",U105/(E105*4))</f>
        <v/>
      </c>
      <c r="W105" s="21" t="str">
        <f aca="false">IF(B105="","",COUNTIF('Listing Watch'!$B$8:$B$307,B105))</f>
        <v/>
      </c>
      <c r="X105" s="40" t="str">
        <f aca="false">IF(B105="","",HYPERLINK("https://www.redfin.com/zipcode/"&amp;B105&amp;"/housing-market","Redfin"))</f>
        <v/>
      </c>
      <c r="Y105" s="40" t="str">
        <f aca="false">IF(B105="","",HYPERLINK("https://data.census.gov/table/ACSDT5Y2024.B25032?g=860XX00US"&amp;B105,"B25032"))</f>
        <v/>
      </c>
      <c r="Z105" s="40" t="str">
        <f aca="false">IF(B105="","",HYPERLINK("https://censusreporter.org/profiles/86000US"&amp;B105&amp;"-"&amp;B105&amp;"/","Profile"))</f>
        <v/>
      </c>
    </row>
    <row r="106" customFormat="false" ht="15" hidden="false" customHeight="false" outlineLevel="0" collapsed="false">
      <c r="A106" s="30"/>
      <c r="B106" s="30"/>
      <c r="C106" s="30"/>
      <c r="D106" s="41"/>
      <c r="E106" s="27"/>
      <c r="F106" s="27"/>
      <c r="G106" s="27"/>
      <c r="H106" s="31"/>
      <c r="I106" s="31"/>
      <c r="J106" s="31"/>
      <c r="K106" s="41"/>
      <c r="L106" s="42"/>
      <c r="M106" s="27"/>
      <c r="N106" s="27"/>
      <c r="O106" s="41"/>
      <c r="P106" s="43"/>
      <c r="Q106" s="30"/>
      <c r="R106" s="39" t="str">
        <f aca="false">IF(OR(E106="",F106="",E106=0),"",F106/(E106/3))</f>
        <v/>
      </c>
      <c r="S106" s="24" t="str">
        <f aca="false">IF(OR(D106="",K106="",D106=0),"",K106*12/D106)</f>
        <v/>
      </c>
      <c r="T106" s="24" t="str">
        <f aca="false">IF(OR(M106="",N106=""),"",IF(M106+N106=0,"",N106/(M106+N106)))</f>
        <v/>
      </c>
      <c r="U106" s="21" t="str">
        <f aca="false">IF(B106="","",COUNTIF('Past Flips'!$B$8:$B$307,B106)+COUNTIFS('Flip Candidates'!$B$8:$B$207,B106,'Flip Candidates'!$O$8:$O$207,"Likely flip"))</f>
        <v/>
      </c>
      <c r="V106" s="24" t="str">
        <f aca="false">IF(OR(U106="",E106="",E106=0),"",U106/(E106*4))</f>
        <v/>
      </c>
      <c r="W106" s="21" t="str">
        <f aca="false">IF(B106="","",COUNTIF('Listing Watch'!$B$8:$B$307,B106))</f>
        <v/>
      </c>
      <c r="X106" s="40" t="str">
        <f aca="false">IF(B106="","",HYPERLINK("https://www.redfin.com/zipcode/"&amp;B106&amp;"/housing-market","Redfin"))</f>
        <v/>
      </c>
      <c r="Y106" s="40" t="str">
        <f aca="false">IF(B106="","",HYPERLINK("https://data.census.gov/table/ACSDT5Y2024.B25032?g=860XX00US"&amp;B106,"B25032"))</f>
        <v/>
      </c>
      <c r="Z106" s="40" t="str">
        <f aca="false">IF(B106="","",HYPERLINK("https://censusreporter.org/profiles/86000US"&amp;B106&amp;"-"&amp;B106&amp;"/","Profile"))</f>
        <v/>
      </c>
    </row>
    <row r="107" customFormat="false" ht="15" hidden="false" customHeight="false" outlineLevel="0" collapsed="false">
      <c r="A107" s="30"/>
      <c r="B107" s="30"/>
      <c r="C107" s="30"/>
      <c r="D107" s="41"/>
      <c r="E107" s="27"/>
      <c r="F107" s="27"/>
      <c r="G107" s="27"/>
      <c r="H107" s="31"/>
      <c r="I107" s="31"/>
      <c r="J107" s="31"/>
      <c r="K107" s="41"/>
      <c r="L107" s="42"/>
      <c r="M107" s="27"/>
      <c r="N107" s="27"/>
      <c r="O107" s="41"/>
      <c r="P107" s="43"/>
      <c r="Q107" s="30"/>
      <c r="R107" s="39" t="str">
        <f aca="false">IF(OR(E107="",F107="",E107=0),"",F107/(E107/3))</f>
        <v/>
      </c>
      <c r="S107" s="24" t="str">
        <f aca="false">IF(OR(D107="",K107="",D107=0),"",K107*12/D107)</f>
        <v/>
      </c>
      <c r="T107" s="24" t="str">
        <f aca="false">IF(OR(M107="",N107=""),"",IF(M107+N107=0,"",N107/(M107+N107)))</f>
        <v/>
      </c>
      <c r="U107" s="21" t="str">
        <f aca="false">IF(B107="","",COUNTIF('Past Flips'!$B$8:$B$307,B107)+COUNTIFS('Flip Candidates'!$B$8:$B$207,B107,'Flip Candidates'!$O$8:$O$207,"Likely flip"))</f>
        <v/>
      </c>
      <c r="V107" s="24" t="str">
        <f aca="false">IF(OR(U107="",E107="",E107=0),"",U107/(E107*4))</f>
        <v/>
      </c>
      <c r="W107" s="21" t="str">
        <f aca="false">IF(B107="","",COUNTIF('Listing Watch'!$B$8:$B$307,B107))</f>
        <v/>
      </c>
      <c r="X107" s="40" t="str">
        <f aca="false">IF(B107="","",HYPERLINK("https://www.redfin.com/zipcode/"&amp;B107&amp;"/housing-market","Redfin"))</f>
        <v/>
      </c>
      <c r="Y107" s="40" t="str">
        <f aca="false">IF(B107="","",HYPERLINK("https://data.census.gov/table/ACSDT5Y2024.B25032?g=860XX00US"&amp;B107,"B25032"))</f>
        <v/>
      </c>
      <c r="Z107" s="40" t="str">
        <f aca="false">IF(B107="","",HYPERLINK("https://censusreporter.org/profiles/86000US"&amp;B107&amp;"-"&amp;B107&amp;"/","Profile"))</f>
        <v/>
      </c>
    </row>
  </sheetData>
  <mergeCells count="6">
    <mergeCell ref="A6:C6"/>
    <mergeCell ref="D6:J6"/>
    <mergeCell ref="L6:O6"/>
    <mergeCell ref="P6:Q6"/>
    <mergeCell ref="R6:W6"/>
    <mergeCell ref="X6:Z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V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6"/>
    <col collapsed="false" customWidth="true" hidden="false" outlineLevel="0" max="7" min="7" style="0" width="8"/>
    <col collapsed="false" customWidth="true" hidden="false" outlineLevel="0" max="16" min="8" style="0" width="11"/>
    <col collapsed="false" customWidth="true" hidden="false" outlineLevel="0" max="17" min="17" style="0" width="24"/>
    <col collapsed="false" customWidth="true" hidden="false" outlineLevel="0" max="19" min="18" style="0" width="8"/>
    <col collapsed="false" customWidth="true" hidden="false" outlineLevel="0" max="20" min="20" style="0" width="9"/>
    <col collapsed="false" customWidth="true" hidden="false" outlineLevel="0" max="22" min="21" style="0" width="8"/>
  </cols>
  <sheetData>
    <row r="1" customFormat="false" ht="21.75" hidden="false" customHeight="true" outlineLevel="0" collapsed="false">
      <c r="A1" s="15" t="s">
        <v>171</v>
      </c>
    </row>
    <row r="2" customFormat="false" ht="15" hidden="false" customHeight="false" outlineLevel="0" collapsed="false">
      <c r="A2" s="2" t="s">
        <v>172</v>
      </c>
    </row>
    <row r="6" customFormat="false" ht="15" hidden="false" customHeight="false" outlineLevel="0" collapsed="false">
      <c r="A6" s="17" t="s">
        <v>173</v>
      </c>
      <c r="B6" s="17"/>
      <c r="C6" s="17"/>
      <c r="D6" s="17"/>
      <c r="E6" s="17"/>
      <c r="F6" s="17"/>
      <c r="G6" s="17"/>
      <c r="H6" s="17"/>
      <c r="I6" s="17" t="s">
        <v>174</v>
      </c>
      <c r="J6" s="17"/>
      <c r="K6" s="17"/>
      <c r="L6" s="17"/>
      <c r="M6" s="17"/>
      <c r="N6" s="17"/>
      <c r="O6" s="17"/>
      <c r="P6" s="17"/>
      <c r="Q6" s="17"/>
      <c r="R6" s="17" t="s">
        <v>145</v>
      </c>
      <c r="S6" s="17"/>
      <c r="T6" s="17"/>
      <c r="U6" s="17"/>
      <c r="V6" s="17"/>
    </row>
    <row r="7" customFormat="false" ht="42" hidden="false" customHeight="true" outlineLevel="0" collapsed="false">
      <c r="A7" s="19" t="s">
        <v>128</v>
      </c>
      <c r="B7" s="19" t="s">
        <v>147</v>
      </c>
      <c r="C7" s="19" t="s">
        <v>175</v>
      </c>
      <c r="D7" s="19" t="s">
        <v>176</v>
      </c>
      <c r="E7" s="19" t="s">
        <v>177</v>
      </c>
      <c r="F7" s="19" t="s">
        <v>178</v>
      </c>
      <c r="G7" s="19" t="s">
        <v>179</v>
      </c>
      <c r="H7" s="19" t="s">
        <v>180</v>
      </c>
      <c r="I7" s="19" t="s">
        <v>181</v>
      </c>
      <c r="J7" s="19" t="s">
        <v>182</v>
      </c>
      <c r="K7" s="19" t="s">
        <v>183</v>
      </c>
      <c r="L7" s="19" t="s">
        <v>184</v>
      </c>
      <c r="M7" s="19" t="s">
        <v>185</v>
      </c>
      <c r="N7" s="19" t="s">
        <v>186</v>
      </c>
      <c r="O7" s="19" t="s">
        <v>187</v>
      </c>
      <c r="P7" s="19" t="s">
        <v>188</v>
      </c>
      <c r="Q7" s="19" t="s">
        <v>189</v>
      </c>
      <c r="R7" s="19" t="s">
        <v>190</v>
      </c>
      <c r="S7" s="19" t="s">
        <v>191</v>
      </c>
      <c r="T7" s="19" t="s">
        <v>192</v>
      </c>
      <c r="U7" s="19" t="s">
        <v>193</v>
      </c>
      <c r="V7" s="19" t="s">
        <v>194</v>
      </c>
    </row>
    <row r="8" customFormat="false" ht="15" hidden="false" customHeight="false" outlineLevel="0" collapsed="false">
      <c r="A8" s="20" t="s">
        <v>126</v>
      </c>
      <c r="B8" s="20" t="s">
        <v>168</v>
      </c>
      <c r="C8" s="20" t="s">
        <v>195</v>
      </c>
      <c r="D8" s="30"/>
      <c r="E8" s="36" t="n">
        <v>3</v>
      </c>
      <c r="F8" s="44" t="n">
        <v>1</v>
      </c>
      <c r="G8" s="36" t="n">
        <v>1150</v>
      </c>
      <c r="H8" s="20" t="s">
        <v>196</v>
      </c>
      <c r="I8" s="38" t="n">
        <v>46266</v>
      </c>
      <c r="J8" s="35" t="n">
        <v>149900</v>
      </c>
      <c r="K8" s="35" t="n">
        <v>139900</v>
      </c>
      <c r="L8" s="20" t="s">
        <v>197</v>
      </c>
      <c r="M8" s="38" t="n">
        <v>46297</v>
      </c>
      <c r="N8" s="43"/>
      <c r="O8" s="41"/>
      <c r="P8" s="38" t="n">
        <v>46310</v>
      </c>
      <c r="Q8" s="20" t="s">
        <v>170</v>
      </c>
      <c r="R8" s="24" t="n">
        <f aca="false">IF(OR(J8="",K8="",J8=0),"",1-K8/J8)</f>
        <v>0.066711140760507</v>
      </c>
      <c r="S8" s="45" t="n">
        <f aca="false">IF(OR(I8="",M8=""),"",M8-I8)</f>
        <v>31</v>
      </c>
      <c r="T8" s="24" t="str">
        <f aca="false">IF(OR(J8="",O8="",J8=0),"",O8/J8)</f>
        <v/>
      </c>
      <c r="U8" s="46" t="n">
        <f aca="false">IF(OR(J8="",G8="",G8=0),"",J8/G8)</f>
        <v>130.347826086957</v>
      </c>
      <c r="V8" s="46" t="str">
        <f aca="false">IF(OR(O8="",G8="",G8=0),"",O8/G8)</f>
        <v/>
      </c>
    </row>
    <row r="9" customFormat="false" ht="15" hidden="false" customHeight="false" outlineLevel="0" collapsed="false">
      <c r="A9" s="30"/>
      <c r="B9" s="30"/>
      <c r="C9" s="30"/>
      <c r="D9" s="30"/>
      <c r="E9" s="27"/>
      <c r="F9" s="47"/>
      <c r="G9" s="27"/>
      <c r="H9" s="30"/>
      <c r="I9" s="43"/>
      <c r="J9" s="41"/>
      <c r="K9" s="41"/>
      <c r="L9" s="30"/>
      <c r="M9" s="43"/>
      <c r="N9" s="43"/>
      <c r="O9" s="41"/>
      <c r="P9" s="43"/>
      <c r="Q9" s="30"/>
      <c r="R9" s="24" t="str">
        <f aca="false">IF(OR(J9="",K9="",J9=0),"",1-K9/J9)</f>
        <v/>
      </c>
      <c r="S9" s="45" t="str">
        <f aca="false">IF(OR(I9="",M9=""),"",M9-I9)</f>
        <v/>
      </c>
      <c r="T9" s="24" t="str">
        <f aca="false">IF(OR(J9="",O9="",J9=0),"",O9/J9)</f>
        <v/>
      </c>
      <c r="U9" s="46" t="str">
        <f aca="false">IF(OR(J9="",G9="",G9=0),"",J9/G9)</f>
        <v/>
      </c>
      <c r="V9" s="46" t="str">
        <f aca="false">IF(OR(O9="",G9="",G9=0),"",O9/G9)</f>
        <v/>
      </c>
    </row>
    <row r="10" customFormat="false" ht="15" hidden="false" customHeight="false" outlineLevel="0" collapsed="false">
      <c r="A10" s="30"/>
      <c r="B10" s="30"/>
      <c r="C10" s="30"/>
      <c r="D10" s="30"/>
      <c r="E10" s="27"/>
      <c r="F10" s="47"/>
      <c r="G10" s="27"/>
      <c r="H10" s="30"/>
      <c r="I10" s="43"/>
      <c r="J10" s="41"/>
      <c r="K10" s="41"/>
      <c r="L10" s="30"/>
      <c r="M10" s="43"/>
      <c r="N10" s="43"/>
      <c r="O10" s="41"/>
      <c r="P10" s="43"/>
      <c r="Q10" s="30"/>
      <c r="R10" s="24" t="str">
        <f aca="false">IF(OR(J10="",K10="",J10=0),"",1-K10/J10)</f>
        <v/>
      </c>
      <c r="S10" s="45" t="str">
        <f aca="false">IF(OR(I10="",M10=""),"",M10-I10)</f>
        <v/>
      </c>
      <c r="T10" s="24" t="str">
        <f aca="false">IF(OR(J10="",O10="",J10=0),"",O10/J10)</f>
        <v/>
      </c>
      <c r="U10" s="46" t="str">
        <f aca="false">IF(OR(J10="",G10="",G10=0),"",J10/G10)</f>
        <v/>
      </c>
      <c r="V10" s="46" t="str">
        <f aca="false">IF(OR(O10="",G10="",G10=0),"",O10/G10)</f>
        <v/>
      </c>
    </row>
    <row r="11" customFormat="false" ht="15" hidden="false" customHeight="false" outlineLevel="0" collapsed="false">
      <c r="A11" s="30"/>
      <c r="B11" s="30"/>
      <c r="C11" s="30"/>
      <c r="D11" s="30"/>
      <c r="E11" s="27"/>
      <c r="F11" s="47"/>
      <c r="G11" s="27"/>
      <c r="H11" s="30"/>
      <c r="I11" s="43"/>
      <c r="J11" s="41"/>
      <c r="K11" s="41"/>
      <c r="L11" s="30"/>
      <c r="M11" s="43"/>
      <c r="N11" s="43"/>
      <c r="O11" s="41"/>
      <c r="P11" s="43"/>
      <c r="Q11" s="30"/>
      <c r="R11" s="24" t="str">
        <f aca="false">IF(OR(J11="",K11="",J11=0),"",1-K11/J11)</f>
        <v/>
      </c>
      <c r="S11" s="45" t="str">
        <f aca="false">IF(OR(I11="",M11=""),"",M11-I11)</f>
        <v/>
      </c>
      <c r="T11" s="24" t="str">
        <f aca="false">IF(OR(J11="",O11="",J11=0),"",O11/J11)</f>
        <v/>
      </c>
      <c r="U11" s="46" t="str">
        <f aca="false">IF(OR(J11="",G11="",G11=0),"",J11/G11)</f>
        <v/>
      </c>
      <c r="V11" s="46" t="str">
        <f aca="false">IF(OR(O11="",G11="",G11=0),"",O11/G11)</f>
        <v/>
      </c>
    </row>
    <row r="12" customFormat="false" ht="15" hidden="false" customHeight="false" outlineLevel="0" collapsed="false">
      <c r="A12" s="30"/>
      <c r="B12" s="30"/>
      <c r="C12" s="30"/>
      <c r="D12" s="30"/>
      <c r="E12" s="27"/>
      <c r="F12" s="47"/>
      <c r="G12" s="27"/>
      <c r="H12" s="30"/>
      <c r="I12" s="43"/>
      <c r="J12" s="41"/>
      <c r="K12" s="41"/>
      <c r="L12" s="30"/>
      <c r="M12" s="43"/>
      <c r="N12" s="43"/>
      <c r="O12" s="41"/>
      <c r="P12" s="43"/>
      <c r="Q12" s="30"/>
      <c r="R12" s="24" t="str">
        <f aca="false">IF(OR(J12="",K12="",J12=0),"",1-K12/J12)</f>
        <v/>
      </c>
      <c r="S12" s="45" t="str">
        <f aca="false">IF(OR(I12="",M12=""),"",M12-I12)</f>
        <v/>
      </c>
      <c r="T12" s="24" t="str">
        <f aca="false">IF(OR(J12="",O12="",J12=0),"",O12/J12)</f>
        <v/>
      </c>
      <c r="U12" s="46" t="str">
        <f aca="false">IF(OR(J12="",G12="",G12=0),"",J12/G12)</f>
        <v/>
      </c>
      <c r="V12" s="46" t="str">
        <f aca="false">IF(OR(O12="",G12="",G12=0),"",O12/G12)</f>
        <v/>
      </c>
    </row>
    <row r="13" customFormat="false" ht="15" hidden="false" customHeight="false" outlineLevel="0" collapsed="false">
      <c r="A13" s="30"/>
      <c r="B13" s="30"/>
      <c r="C13" s="30"/>
      <c r="D13" s="30"/>
      <c r="E13" s="27"/>
      <c r="F13" s="47"/>
      <c r="G13" s="27"/>
      <c r="H13" s="30"/>
      <c r="I13" s="43"/>
      <c r="J13" s="41"/>
      <c r="K13" s="41"/>
      <c r="L13" s="30"/>
      <c r="M13" s="43"/>
      <c r="N13" s="43"/>
      <c r="O13" s="41"/>
      <c r="P13" s="43"/>
      <c r="Q13" s="30"/>
      <c r="R13" s="24" t="str">
        <f aca="false">IF(OR(J13="",K13="",J13=0),"",1-K13/J13)</f>
        <v/>
      </c>
      <c r="S13" s="45" t="str">
        <f aca="false">IF(OR(I13="",M13=""),"",M13-I13)</f>
        <v/>
      </c>
      <c r="T13" s="24" t="str">
        <f aca="false">IF(OR(J13="",O13="",J13=0),"",O13/J13)</f>
        <v/>
      </c>
      <c r="U13" s="46" t="str">
        <f aca="false">IF(OR(J13="",G13="",G13=0),"",J13/G13)</f>
        <v/>
      </c>
      <c r="V13" s="46" t="str">
        <f aca="false">IF(OR(O13="",G13="",G13=0),"",O13/G13)</f>
        <v/>
      </c>
    </row>
    <row r="14" customFormat="false" ht="15" hidden="false" customHeight="false" outlineLevel="0" collapsed="false">
      <c r="A14" s="30"/>
      <c r="B14" s="30"/>
      <c r="C14" s="30"/>
      <c r="D14" s="30"/>
      <c r="E14" s="27"/>
      <c r="F14" s="47"/>
      <c r="G14" s="27"/>
      <c r="H14" s="30"/>
      <c r="I14" s="43"/>
      <c r="J14" s="41"/>
      <c r="K14" s="41"/>
      <c r="L14" s="30"/>
      <c r="M14" s="43"/>
      <c r="N14" s="43"/>
      <c r="O14" s="41"/>
      <c r="P14" s="43"/>
      <c r="Q14" s="30"/>
      <c r="R14" s="24" t="str">
        <f aca="false">IF(OR(J14="",K14="",J14=0),"",1-K14/J14)</f>
        <v/>
      </c>
      <c r="S14" s="45" t="str">
        <f aca="false">IF(OR(I14="",M14=""),"",M14-I14)</f>
        <v/>
      </c>
      <c r="T14" s="24" t="str">
        <f aca="false">IF(OR(J14="",O14="",J14=0),"",O14/J14)</f>
        <v/>
      </c>
      <c r="U14" s="46" t="str">
        <f aca="false">IF(OR(J14="",G14="",G14=0),"",J14/G14)</f>
        <v/>
      </c>
      <c r="V14" s="46" t="str">
        <f aca="false">IF(OR(O14="",G14="",G14=0),"",O14/G14)</f>
        <v/>
      </c>
    </row>
    <row r="15" customFormat="false" ht="15" hidden="false" customHeight="false" outlineLevel="0" collapsed="false">
      <c r="A15" s="30"/>
      <c r="B15" s="30"/>
      <c r="C15" s="30"/>
      <c r="D15" s="30"/>
      <c r="E15" s="27"/>
      <c r="F15" s="47"/>
      <c r="G15" s="27"/>
      <c r="H15" s="30"/>
      <c r="I15" s="43"/>
      <c r="J15" s="41"/>
      <c r="K15" s="41"/>
      <c r="L15" s="30"/>
      <c r="M15" s="43"/>
      <c r="N15" s="43"/>
      <c r="O15" s="41"/>
      <c r="P15" s="43"/>
      <c r="Q15" s="30"/>
      <c r="R15" s="24" t="str">
        <f aca="false">IF(OR(J15="",K15="",J15=0),"",1-K15/J15)</f>
        <v/>
      </c>
      <c r="S15" s="45" t="str">
        <f aca="false">IF(OR(I15="",M15=""),"",M15-I15)</f>
        <v/>
      </c>
      <c r="T15" s="24" t="str">
        <f aca="false">IF(OR(J15="",O15="",J15=0),"",O15/J15)</f>
        <v/>
      </c>
      <c r="U15" s="46" t="str">
        <f aca="false">IF(OR(J15="",G15="",G15=0),"",J15/G15)</f>
        <v/>
      </c>
      <c r="V15" s="46" t="str">
        <f aca="false">IF(OR(O15="",G15="",G15=0),"",O15/G15)</f>
        <v/>
      </c>
    </row>
    <row r="16" customFormat="false" ht="15" hidden="false" customHeight="false" outlineLevel="0" collapsed="false">
      <c r="A16" s="30"/>
      <c r="B16" s="30"/>
      <c r="C16" s="30"/>
      <c r="D16" s="30"/>
      <c r="E16" s="27"/>
      <c r="F16" s="47"/>
      <c r="G16" s="27"/>
      <c r="H16" s="30"/>
      <c r="I16" s="43"/>
      <c r="J16" s="41"/>
      <c r="K16" s="41"/>
      <c r="L16" s="30"/>
      <c r="M16" s="43"/>
      <c r="N16" s="43"/>
      <c r="O16" s="41"/>
      <c r="P16" s="43"/>
      <c r="Q16" s="30"/>
      <c r="R16" s="24" t="str">
        <f aca="false">IF(OR(J16="",K16="",J16=0),"",1-K16/J16)</f>
        <v/>
      </c>
      <c r="S16" s="45" t="str">
        <f aca="false">IF(OR(I16="",M16=""),"",M16-I16)</f>
        <v/>
      </c>
      <c r="T16" s="24" t="str">
        <f aca="false">IF(OR(J16="",O16="",J16=0),"",O16/J16)</f>
        <v/>
      </c>
      <c r="U16" s="46" t="str">
        <f aca="false">IF(OR(J16="",G16="",G16=0),"",J16/G16)</f>
        <v/>
      </c>
      <c r="V16" s="46" t="str">
        <f aca="false">IF(OR(O16="",G16="",G16=0),"",O16/G16)</f>
        <v/>
      </c>
    </row>
    <row r="17" customFormat="false" ht="15" hidden="false" customHeight="false" outlineLevel="0" collapsed="false">
      <c r="A17" s="30"/>
      <c r="B17" s="30"/>
      <c r="C17" s="30"/>
      <c r="D17" s="30"/>
      <c r="E17" s="27"/>
      <c r="F17" s="47"/>
      <c r="G17" s="27"/>
      <c r="H17" s="30"/>
      <c r="I17" s="43"/>
      <c r="J17" s="41"/>
      <c r="K17" s="41"/>
      <c r="L17" s="30"/>
      <c r="M17" s="43"/>
      <c r="N17" s="43"/>
      <c r="O17" s="41"/>
      <c r="P17" s="43"/>
      <c r="Q17" s="30"/>
      <c r="R17" s="24" t="str">
        <f aca="false">IF(OR(J17="",K17="",J17=0),"",1-K17/J17)</f>
        <v/>
      </c>
      <c r="S17" s="45" t="str">
        <f aca="false">IF(OR(I17="",M17=""),"",M17-I17)</f>
        <v/>
      </c>
      <c r="T17" s="24" t="str">
        <f aca="false">IF(OR(J17="",O17="",J17=0),"",O17/J17)</f>
        <v/>
      </c>
      <c r="U17" s="46" t="str">
        <f aca="false">IF(OR(J17="",G17="",G17=0),"",J17/G17)</f>
        <v/>
      </c>
      <c r="V17" s="46" t="str">
        <f aca="false">IF(OR(O17="",G17="",G17=0),"",O17/G17)</f>
        <v/>
      </c>
    </row>
    <row r="18" customFormat="false" ht="15" hidden="false" customHeight="false" outlineLevel="0" collapsed="false">
      <c r="A18" s="30"/>
      <c r="B18" s="30"/>
      <c r="C18" s="30"/>
      <c r="D18" s="30"/>
      <c r="E18" s="27"/>
      <c r="F18" s="47"/>
      <c r="G18" s="27"/>
      <c r="H18" s="30"/>
      <c r="I18" s="43"/>
      <c r="J18" s="41"/>
      <c r="K18" s="41"/>
      <c r="L18" s="30"/>
      <c r="M18" s="43"/>
      <c r="N18" s="43"/>
      <c r="O18" s="41"/>
      <c r="P18" s="43"/>
      <c r="Q18" s="30"/>
      <c r="R18" s="24" t="str">
        <f aca="false">IF(OR(J18="",K18="",J18=0),"",1-K18/J18)</f>
        <v/>
      </c>
      <c r="S18" s="45" t="str">
        <f aca="false">IF(OR(I18="",M18=""),"",M18-I18)</f>
        <v/>
      </c>
      <c r="T18" s="24" t="str">
        <f aca="false">IF(OR(J18="",O18="",J18=0),"",O18/J18)</f>
        <v/>
      </c>
      <c r="U18" s="46" t="str">
        <f aca="false">IF(OR(J18="",G18="",G18=0),"",J18/G18)</f>
        <v/>
      </c>
      <c r="V18" s="46" t="str">
        <f aca="false">IF(OR(O18="",G18="",G18=0),"",O18/G18)</f>
        <v/>
      </c>
    </row>
    <row r="19" customFormat="false" ht="15" hidden="false" customHeight="false" outlineLevel="0" collapsed="false">
      <c r="A19" s="30"/>
      <c r="B19" s="30"/>
      <c r="C19" s="30"/>
      <c r="D19" s="30"/>
      <c r="E19" s="27"/>
      <c r="F19" s="47"/>
      <c r="G19" s="27"/>
      <c r="H19" s="30"/>
      <c r="I19" s="43"/>
      <c r="J19" s="41"/>
      <c r="K19" s="41"/>
      <c r="L19" s="30"/>
      <c r="M19" s="43"/>
      <c r="N19" s="43"/>
      <c r="O19" s="41"/>
      <c r="P19" s="43"/>
      <c r="Q19" s="30"/>
      <c r="R19" s="24" t="str">
        <f aca="false">IF(OR(J19="",K19="",J19=0),"",1-K19/J19)</f>
        <v/>
      </c>
      <c r="S19" s="45" t="str">
        <f aca="false">IF(OR(I19="",M19=""),"",M19-I19)</f>
        <v/>
      </c>
      <c r="T19" s="24" t="str">
        <f aca="false">IF(OR(J19="",O19="",J19=0),"",O19/J19)</f>
        <v/>
      </c>
      <c r="U19" s="46" t="str">
        <f aca="false">IF(OR(J19="",G19="",G19=0),"",J19/G19)</f>
        <v/>
      </c>
      <c r="V19" s="46" t="str">
        <f aca="false">IF(OR(O19="",G19="",G19=0),"",O19/G19)</f>
        <v/>
      </c>
    </row>
    <row r="20" customFormat="false" ht="15" hidden="false" customHeight="false" outlineLevel="0" collapsed="false">
      <c r="A20" s="30"/>
      <c r="B20" s="30"/>
      <c r="C20" s="30"/>
      <c r="D20" s="30"/>
      <c r="E20" s="27"/>
      <c r="F20" s="47"/>
      <c r="G20" s="27"/>
      <c r="H20" s="30"/>
      <c r="I20" s="43"/>
      <c r="J20" s="41"/>
      <c r="K20" s="41"/>
      <c r="L20" s="30"/>
      <c r="M20" s="43"/>
      <c r="N20" s="43"/>
      <c r="O20" s="41"/>
      <c r="P20" s="43"/>
      <c r="Q20" s="30"/>
      <c r="R20" s="24" t="str">
        <f aca="false">IF(OR(J20="",K20="",J20=0),"",1-K20/J20)</f>
        <v/>
      </c>
      <c r="S20" s="45" t="str">
        <f aca="false">IF(OR(I20="",M20=""),"",M20-I20)</f>
        <v/>
      </c>
      <c r="T20" s="24" t="str">
        <f aca="false">IF(OR(J20="",O20="",J20=0),"",O20/J20)</f>
        <v/>
      </c>
      <c r="U20" s="46" t="str">
        <f aca="false">IF(OR(J20="",G20="",G20=0),"",J20/G20)</f>
        <v/>
      </c>
      <c r="V20" s="46" t="str">
        <f aca="false">IF(OR(O20="",G20="",G20=0),"",O20/G20)</f>
        <v/>
      </c>
    </row>
    <row r="21" customFormat="false" ht="15" hidden="false" customHeight="false" outlineLevel="0" collapsed="false">
      <c r="A21" s="30"/>
      <c r="B21" s="30"/>
      <c r="C21" s="30"/>
      <c r="D21" s="30"/>
      <c r="E21" s="27"/>
      <c r="F21" s="47"/>
      <c r="G21" s="27"/>
      <c r="H21" s="30"/>
      <c r="I21" s="43"/>
      <c r="J21" s="41"/>
      <c r="K21" s="41"/>
      <c r="L21" s="30"/>
      <c r="M21" s="43"/>
      <c r="N21" s="43"/>
      <c r="O21" s="41"/>
      <c r="P21" s="43"/>
      <c r="Q21" s="30"/>
      <c r="R21" s="24" t="str">
        <f aca="false">IF(OR(J21="",K21="",J21=0),"",1-K21/J21)</f>
        <v/>
      </c>
      <c r="S21" s="45" t="str">
        <f aca="false">IF(OR(I21="",M21=""),"",M21-I21)</f>
        <v/>
      </c>
      <c r="T21" s="24" t="str">
        <f aca="false">IF(OR(J21="",O21="",J21=0),"",O21/J21)</f>
        <v/>
      </c>
      <c r="U21" s="46" t="str">
        <f aca="false">IF(OR(J21="",G21="",G21=0),"",J21/G21)</f>
        <v/>
      </c>
      <c r="V21" s="46" t="str">
        <f aca="false">IF(OR(O21="",G21="",G21=0),"",O21/G21)</f>
        <v/>
      </c>
    </row>
    <row r="22" customFormat="false" ht="15" hidden="false" customHeight="false" outlineLevel="0" collapsed="false">
      <c r="A22" s="30"/>
      <c r="B22" s="30"/>
      <c r="C22" s="30"/>
      <c r="D22" s="30"/>
      <c r="E22" s="27"/>
      <c r="F22" s="47"/>
      <c r="G22" s="27"/>
      <c r="H22" s="30"/>
      <c r="I22" s="43"/>
      <c r="J22" s="41"/>
      <c r="K22" s="41"/>
      <c r="L22" s="30"/>
      <c r="M22" s="43"/>
      <c r="N22" s="43"/>
      <c r="O22" s="41"/>
      <c r="P22" s="43"/>
      <c r="Q22" s="30"/>
      <c r="R22" s="24" t="str">
        <f aca="false">IF(OR(J22="",K22="",J22=0),"",1-K22/J22)</f>
        <v/>
      </c>
      <c r="S22" s="45" t="str">
        <f aca="false">IF(OR(I22="",M22=""),"",M22-I22)</f>
        <v/>
      </c>
      <c r="T22" s="24" t="str">
        <f aca="false">IF(OR(J22="",O22="",J22=0),"",O22/J22)</f>
        <v/>
      </c>
      <c r="U22" s="46" t="str">
        <f aca="false">IF(OR(J22="",G22="",G22=0),"",J22/G22)</f>
        <v/>
      </c>
      <c r="V22" s="46" t="str">
        <f aca="false">IF(OR(O22="",G22="",G22=0),"",O22/G22)</f>
        <v/>
      </c>
    </row>
    <row r="23" customFormat="false" ht="15" hidden="false" customHeight="false" outlineLevel="0" collapsed="false">
      <c r="A23" s="30"/>
      <c r="B23" s="30"/>
      <c r="C23" s="30"/>
      <c r="D23" s="30"/>
      <c r="E23" s="27"/>
      <c r="F23" s="47"/>
      <c r="G23" s="27"/>
      <c r="H23" s="30"/>
      <c r="I23" s="43"/>
      <c r="J23" s="41"/>
      <c r="K23" s="41"/>
      <c r="L23" s="30"/>
      <c r="M23" s="43"/>
      <c r="N23" s="43"/>
      <c r="O23" s="41"/>
      <c r="P23" s="43"/>
      <c r="Q23" s="30"/>
      <c r="R23" s="24" t="str">
        <f aca="false">IF(OR(J23="",K23="",J23=0),"",1-K23/J23)</f>
        <v/>
      </c>
      <c r="S23" s="45" t="str">
        <f aca="false">IF(OR(I23="",M23=""),"",M23-I23)</f>
        <v/>
      </c>
      <c r="T23" s="24" t="str">
        <f aca="false">IF(OR(J23="",O23="",J23=0),"",O23/J23)</f>
        <v/>
      </c>
      <c r="U23" s="46" t="str">
        <f aca="false">IF(OR(J23="",G23="",G23=0),"",J23/G23)</f>
        <v/>
      </c>
      <c r="V23" s="46" t="str">
        <f aca="false">IF(OR(O23="",G23="",G23=0),"",O23/G23)</f>
        <v/>
      </c>
    </row>
    <row r="24" customFormat="false" ht="15" hidden="false" customHeight="false" outlineLevel="0" collapsed="false">
      <c r="A24" s="30"/>
      <c r="B24" s="30"/>
      <c r="C24" s="30"/>
      <c r="D24" s="30"/>
      <c r="E24" s="27"/>
      <c r="F24" s="47"/>
      <c r="G24" s="27"/>
      <c r="H24" s="30"/>
      <c r="I24" s="43"/>
      <c r="J24" s="41"/>
      <c r="K24" s="41"/>
      <c r="L24" s="30"/>
      <c r="M24" s="43"/>
      <c r="N24" s="43"/>
      <c r="O24" s="41"/>
      <c r="P24" s="43"/>
      <c r="Q24" s="30"/>
      <c r="R24" s="24" t="str">
        <f aca="false">IF(OR(J24="",K24="",J24=0),"",1-K24/J24)</f>
        <v/>
      </c>
      <c r="S24" s="45" t="str">
        <f aca="false">IF(OR(I24="",M24=""),"",M24-I24)</f>
        <v/>
      </c>
      <c r="T24" s="24" t="str">
        <f aca="false">IF(OR(J24="",O24="",J24=0),"",O24/J24)</f>
        <v/>
      </c>
      <c r="U24" s="46" t="str">
        <f aca="false">IF(OR(J24="",G24="",G24=0),"",J24/G24)</f>
        <v/>
      </c>
      <c r="V24" s="46" t="str">
        <f aca="false">IF(OR(O24="",G24="",G24=0),"",O24/G24)</f>
        <v/>
      </c>
    </row>
    <row r="25" customFormat="false" ht="15" hidden="false" customHeight="false" outlineLevel="0" collapsed="false">
      <c r="A25" s="30"/>
      <c r="B25" s="30"/>
      <c r="C25" s="30"/>
      <c r="D25" s="30"/>
      <c r="E25" s="27"/>
      <c r="F25" s="47"/>
      <c r="G25" s="27"/>
      <c r="H25" s="30"/>
      <c r="I25" s="43"/>
      <c r="J25" s="41"/>
      <c r="K25" s="41"/>
      <c r="L25" s="30"/>
      <c r="M25" s="43"/>
      <c r="N25" s="43"/>
      <c r="O25" s="41"/>
      <c r="P25" s="43"/>
      <c r="Q25" s="30"/>
      <c r="R25" s="24" t="str">
        <f aca="false">IF(OR(J25="",K25="",J25=0),"",1-K25/J25)</f>
        <v/>
      </c>
      <c r="S25" s="45" t="str">
        <f aca="false">IF(OR(I25="",M25=""),"",M25-I25)</f>
        <v/>
      </c>
      <c r="T25" s="24" t="str">
        <f aca="false">IF(OR(J25="",O25="",J25=0),"",O25/J25)</f>
        <v/>
      </c>
      <c r="U25" s="46" t="str">
        <f aca="false">IF(OR(J25="",G25="",G25=0),"",J25/G25)</f>
        <v/>
      </c>
      <c r="V25" s="46" t="str">
        <f aca="false">IF(OR(O25="",G25="",G25=0),"",O25/G25)</f>
        <v/>
      </c>
    </row>
    <row r="26" customFormat="false" ht="15" hidden="false" customHeight="false" outlineLevel="0" collapsed="false">
      <c r="A26" s="30"/>
      <c r="B26" s="30"/>
      <c r="C26" s="30"/>
      <c r="D26" s="30"/>
      <c r="E26" s="27"/>
      <c r="F26" s="47"/>
      <c r="G26" s="27"/>
      <c r="H26" s="30"/>
      <c r="I26" s="43"/>
      <c r="J26" s="41"/>
      <c r="K26" s="41"/>
      <c r="L26" s="30"/>
      <c r="M26" s="43"/>
      <c r="N26" s="43"/>
      <c r="O26" s="41"/>
      <c r="P26" s="43"/>
      <c r="Q26" s="30"/>
      <c r="R26" s="24" t="str">
        <f aca="false">IF(OR(J26="",K26="",J26=0),"",1-K26/J26)</f>
        <v/>
      </c>
      <c r="S26" s="45" t="str">
        <f aca="false">IF(OR(I26="",M26=""),"",M26-I26)</f>
        <v/>
      </c>
      <c r="T26" s="24" t="str">
        <f aca="false">IF(OR(J26="",O26="",J26=0),"",O26/J26)</f>
        <v/>
      </c>
      <c r="U26" s="46" t="str">
        <f aca="false">IF(OR(J26="",G26="",G26=0),"",J26/G26)</f>
        <v/>
      </c>
      <c r="V26" s="46" t="str">
        <f aca="false">IF(OR(O26="",G26="",G26=0),"",O26/G26)</f>
        <v/>
      </c>
    </row>
    <row r="27" customFormat="false" ht="15" hidden="false" customHeight="false" outlineLevel="0" collapsed="false">
      <c r="A27" s="30"/>
      <c r="B27" s="30"/>
      <c r="C27" s="30"/>
      <c r="D27" s="30"/>
      <c r="E27" s="27"/>
      <c r="F27" s="47"/>
      <c r="G27" s="27"/>
      <c r="H27" s="30"/>
      <c r="I27" s="43"/>
      <c r="J27" s="41"/>
      <c r="K27" s="41"/>
      <c r="L27" s="30"/>
      <c r="M27" s="43"/>
      <c r="N27" s="43"/>
      <c r="O27" s="41"/>
      <c r="P27" s="43"/>
      <c r="Q27" s="30"/>
      <c r="R27" s="24" t="str">
        <f aca="false">IF(OR(J27="",K27="",J27=0),"",1-K27/J27)</f>
        <v/>
      </c>
      <c r="S27" s="45" t="str">
        <f aca="false">IF(OR(I27="",M27=""),"",M27-I27)</f>
        <v/>
      </c>
      <c r="T27" s="24" t="str">
        <f aca="false">IF(OR(J27="",O27="",J27=0),"",O27/J27)</f>
        <v/>
      </c>
      <c r="U27" s="46" t="str">
        <f aca="false">IF(OR(J27="",G27="",G27=0),"",J27/G27)</f>
        <v/>
      </c>
      <c r="V27" s="46" t="str">
        <f aca="false">IF(OR(O27="",G27="",G27=0),"",O27/G27)</f>
        <v/>
      </c>
    </row>
    <row r="28" customFormat="false" ht="15" hidden="false" customHeight="false" outlineLevel="0" collapsed="false">
      <c r="A28" s="30"/>
      <c r="B28" s="30"/>
      <c r="C28" s="30"/>
      <c r="D28" s="30"/>
      <c r="E28" s="27"/>
      <c r="F28" s="47"/>
      <c r="G28" s="27"/>
      <c r="H28" s="30"/>
      <c r="I28" s="43"/>
      <c r="J28" s="41"/>
      <c r="K28" s="41"/>
      <c r="L28" s="30"/>
      <c r="M28" s="43"/>
      <c r="N28" s="43"/>
      <c r="O28" s="41"/>
      <c r="P28" s="43"/>
      <c r="Q28" s="30"/>
      <c r="R28" s="24" t="str">
        <f aca="false">IF(OR(J28="",K28="",J28=0),"",1-K28/J28)</f>
        <v/>
      </c>
      <c r="S28" s="45" t="str">
        <f aca="false">IF(OR(I28="",M28=""),"",M28-I28)</f>
        <v/>
      </c>
      <c r="T28" s="24" t="str">
        <f aca="false">IF(OR(J28="",O28="",J28=0),"",O28/J28)</f>
        <v/>
      </c>
      <c r="U28" s="46" t="str">
        <f aca="false">IF(OR(J28="",G28="",G28=0),"",J28/G28)</f>
        <v/>
      </c>
      <c r="V28" s="46" t="str">
        <f aca="false">IF(OR(O28="",G28="",G28=0),"",O28/G28)</f>
        <v/>
      </c>
    </row>
    <row r="29" customFormat="false" ht="15" hidden="false" customHeight="false" outlineLevel="0" collapsed="false">
      <c r="A29" s="30"/>
      <c r="B29" s="30"/>
      <c r="C29" s="30"/>
      <c r="D29" s="30"/>
      <c r="E29" s="27"/>
      <c r="F29" s="47"/>
      <c r="G29" s="27"/>
      <c r="H29" s="30"/>
      <c r="I29" s="43"/>
      <c r="J29" s="41"/>
      <c r="K29" s="41"/>
      <c r="L29" s="30"/>
      <c r="M29" s="43"/>
      <c r="N29" s="43"/>
      <c r="O29" s="41"/>
      <c r="P29" s="43"/>
      <c r="Q29" s="30"/>
      <c r="R29" s="24" t="str">
        <f aca="false">IF(OR(J29="",K29="",J29=0),"",1-K29/J29)</f>
        <v/>
      </c>
      <c r="S29" s="45" t="str">
        <f aca="false">IF(OR(I29="",M29=""),"",M29-I29)</f>
        <v/>
      </c>
      <c r="T29" s="24" t="str">
        <f aca="false">IF(OR(J29="",O29="",J29=0),"",O29/J29)</f>
        <v/>
      </c>
      <c r="U29" s="46" t="str">
        <f aca="false">IF(OR(J29="",G29="",G29=0),"",J29/G29)</f>
        <v/>
      </c>
      <c r="V29" s="46" t="str">
        <f aca="false">IF(OR(O29="",G29="",G29=0),"",O29/G29)</f>
        <v/>
      </c>
    </row>
    <row r="30" customFormat="false" ht="15" hidden="false" customHeight="false" outlineLevel="0" collapsed="false">
      <c r="A30" s="30"/>
      <c r="B30" s="30"/>
      <c r="C30" s="30"/>
      <c r="D30" s="30"/>
      <c r="E30" s="27"/>
      <c r="F30" s="47"/>
      <c r="G30" s="27"/>
      <c r="H30" s="30"/>
      <c r="I30" s="43"/>
      <c r="J30" s="41"/>
      <c r="K30" s="41"/>
      <c r="L30" s="30"/>
      <c r="M30" s="43"/>
      <c r="N30" s="43"/>
      <c r="O30" s="41"/>
      <c r="P30" s="43"/>
      <c r="Q30" s="30"/>
      <c r="R30" s="24" t="str">
        <f aca="false">IF(OR(J30="",K30="",J30=0),"",1-K30/J30)</f>
        <v/>
      </c>
      <c r="S30" s="45" t="str">
        <f aca="false">IF(OR(I30="",M30=""),"",M30-I30)</f>
        <v/>
      </c>
      <c r="T30" s="24" t="str">
        <f aca="false">IF(OR(J30="",O30="",J30=0),"",O30/J30)</f>
        <v/>
      </c>
      <c r="U30" s="46" t="str">
        <f aca="false">IF(OR(J30="",G30="",G30=0),"",J30/G30)</f>
        <v/>
      </c>
      <c r="V30" s="46" t="str">
        <f aca="false">IF(OR(O30="",G30="",G30=0),"",O30/G30)</f>
        <v/>
      </c>
    </row>
    <row r="31" customFormat="false" ht="15" hidden="false" customHeight="false" outlineLevel="0" collapsed="false">
      <c r="A31" s="30"/>
      <c r="B31" s="30"/>
      <c r="C31" s="30"/>
      <c r="D31" s="30"/>
      <c r="E31" s="27"/>
      <c r="F31" s="47"/>
      <c r="G31" s="27"/>
      <c r="H31" s="30"/>
      <c r="I31" s="43"/>
      <c r="J31" s="41"/>
      <c r="K31" s="41"/>
      <c r="L31" s="30"/>
      <c r="M31" s="43"/>
      <c r="N31" s="43"/>
      <c r="O31" s="41"/>
      <c r="P31" s="43"/>
      <c r="Q31" s="30"/>
      <c r="R31" s="24" t="str">
        <f aca="false">IF(OR(J31="",K31="",J31=0),"",1-K31/J31)</f>
        <v/>
      </c>
      <c r="S31" s="45" t="str">
        <f aca="false">IF(OR(I31="",M31=""),"",M31-I31)</f>
        <v/>
      </c>
      <c r="T31" s="24" t="str">
        <f aca="false">IF(OR(J31="",O31="",J31=0),"",O31/J31)</f>
        <v/>
      </c>
      <c r="U31" s="46" t="str">
        <f aca="false">IF(OR(J31="",G31="",G31=0),"",J31/G31)</f>
        <v/>
      </c>
      <c r="V31" s="46" t="str">
        <f aca="false">IF(OR(O31="",G31="",G31=0),"",O31/G31)</f>
        <v/>
      </c>
    </row>
    <row r="32" customFormat="false" ht="15" hidden="false" customHeight="false" outlineLevel="0" collapsed="false">
      <c r="A32" s="30"/>
      <c r="B32" s="30"/>
      <c r="C32" s="30"/>
      <c r="D32" s="30"/>
      <c r="E32" s="27"/>
      <c r="F32" s="47"/>
      <c r="G32" s="27"/>
      <c r="H32" s="30"/>
      <c r="I32" s="43"/>
      <c r="J32" s="41"/>
      <c r="K32" s="41"/>
      <c r="L32" s="30"/>
      <c r="M32" s="43"/>
      <c r="N32" s="43"/>
      <c r="O32" s="41"/>
      <c r="P32" s="43"/>
      <c r="Q32" s="30"/>
      <c r="R32" s="24" t="str">
        <f aca="false">IF(OR(J32="",K32="",J32=0),"",1-K32/J32)</f>
        <v/>
      </c>
      <c r="S32" s="45" t="str">
        <f aca="false">IF(OR(I32="",M32=""),"",M32-I32)</f>
        <v/>
      </c>
      <c r="T32" s="24" t="str">
        <f aca="false">IF(OR(J32="",O32="",J32=0),"",O32/J32)</f>
        <v/>
      </c>
      <c r="U32" s="46" t="str">
        <f aca="false">IF(OR(J32="",G32="",G32=0),"",J32/G32)</f>
        <v/>
      </c>
      <c r="V32" s="46" t="str">
        <f aca="false">IF(OR(O32="",G32="",G32=0),"",O32/G32)</f>
        <v/>
      </c>
    </row>
    <row r="33" customFormat="false" ht="15" hidden="false" customHeight="false" outlineLevel="0" collapsed="false">
      <c r="A33" s="30"/>
      <c r="B33" s="30"/>
      <c r="C33" s="30"/>
      <c r="D33" s="30"/>
      <c r="E33" s="27"/>
      <c r="F33" s="47"/>
      <c r="G33" s="27"/>
      <c r="H33" s="30"/>
      <c r="I33" s="43"/>
      <c r="J33" s="41"/>
      <c r="K33" s="41"/>
      <c r="L33" s="30"/>
      <c r="M33" s="43"/>
      <c r="N33" s="43"/>
      <c r="O33" s="41"/>
      <c r="P33" s="43"/>
      <c r="Q33" s="30"/>
      <c r="R33" s="24" t="str">
        <f aca="false">IF(OR(J33="",K33="",J33=0),"",1-K33/J33)</f>
        <v/>
      </c>
      <c r="S33" s="45" t="str">
        <f aca="false">IF(OR(I33="",M33=""),"",M33-I33)</f>
        <v/>
      </c>
      <c r="T33" s="24" t="str">
        <f aca="false">IF(OR(J33="",O33="",J33=0),"",O33/J33)</f>
        <v/>
      </c>
      <c r="U33" s="46" t="str">
        <f aca="false">IF(OR(J33="",G33="",G33=0),"",J33/G33)</f>
        <v/>
      </c>
      <c r="V33" s="46" t="str">
        <f aca="false">IF(OR(O33="",G33="",G33=0),"",O33/G33)</f>
        <v/>
      </c>
    </row>
    <row r="34" customFormat="false" ht="15" hidden="false" customHeight="false" outlineLevel="0" collapsed="false">
      <c r="A34" s="30"/>
      <c r="B34" s="30"/>
      <c r="C34" s="30"/>
      <c r="D34" s="30"/>
      <c r="E34" s="27"/>
      <c r="F34" s="47"/>
      <c r="G34" s="27"/>
      <c r="H34" s="30"/>
      <c r="I34" s="43"/>
      <c r="J34" s="41"/>
      <c r="K34" s="41"/>
      <c r="L34" s="30"/>
      <c r="M34" s="43"/>
      <c r="N34" s="43"/>
      <c r="O34" s="41"/>
      <c r="P34" s="43"/>
      <c r="Q34" s="30"/>
      <c r="R34" s="24" t="str">
        <f aca="false">IF(OR(J34="",K34="",J34=0),"",1-K34/J34)</f>
        <v/>
      </c>
      <c r="S34" s="45" t="str">
        <f aca="false">IF(OR(I34="",M34=""),"",M34-I34)</f>
        <v/>
      </c>
      <c r="T34" s="24" t="str">
        <f aca="false">IF(OR(J34="",O34="",J34=0),"",O34/J34)</f>
        <v/>
      </c>
      <c r="U34" s="46" t="str">
        <f aca="false">IF(OR(J34="",G34="",G34=0),"",J34/G34)</f>
        <v/>
      </c>
      <c r="V34" s="46" t="str">
        <f aca="false">IF(OR(O34="",G34="",G34=0),"",O34/G34)</f>
        <v/>
      </c>
    </row>
    <row r="35" customFormat="false" ht="15" hidden="false" customHeight="false" outlineLevel="0" collapsed="false">
      <c r="A35" s="30"/>
      <c r="B35" s="30"/>
      <c r="C35" s="30"/>
      <c r="D35" s="30"/>
      <c r="E35" s="27"/>
      <c r="F35" s="47"/>
      <c r="G35" s="27"/>
      <c r="H35" s="30"/>
      <c r="I35" s="43"/>
      <c r="J35" s="41"/>
      <c r="K35" s="41"/>
      <c r="L35" s="30"/>
      <c r="M35" s="43"/>
      <c r="N35" s="43"/>
      <c r="O35" s="41"/>
      <c r="P35" s="43"/>
      <c r="Q35" s="30"/>
      <c r="R35" s="24" t="str">
        <f aca="false">IF(OR(J35="",K35="",J35=0),"",1-K35/J35)</f>
        <v/>
      </c>
      <c r="S35" s="45" t="str">
        <f aca="false">IF(OR(I35="",M35=""),"",M35-I35)</f>
        <v/>
      </c>
      <c r="T35" s="24" t="str">
        <f aca="false">IF(OR(J35="",O35="",J35=0),"",O35/J35)</f>
        <v/>
      </c>
      <c r="U35" s="46" t="str">
        <f aca="false">IF(OR(J35="",G35="",G35=0),"",J35/G35)</f>
        <v/>
      </c>
      <c r="V35" s="46" t="str">
        <f aca="false">IF(OR(O35="",G35="",G35=0),"",O35/G35)</f>
        <v/>
      </c>
    </row>
    <row r="36" customFormat="false" ht="15" hidden="false" customHeight="false" outlineLevel="0" collapsed="false">
      <c r="A36" s="30"/>
      <c r="B36" s="30"/>
      <c r="C36" s="30"/>
      <c r="D36" s="30"/>
      <c r="E36" s="27"/>
      <c r="F36" s="47"/>
      <c r="G36" s="27"/>
      <c r="H36" s="30"/>
      <c r="I36" s="43"/>
      <c r="J36" s="41"/>
      <c r="K36" s="41"/>
      <c r="L36" s="30"/>
      <c r="M36" s="43"/>
      <c r="N36" s="43"/>
      <c r="O36" s="41"/>
      <c r="P36" s="43"/>
      <c r="Q36" s="30"/>
      <c r="R36" s="24" t="str">
        <f aca="false">IF(OR(J36="",K36="",J36=0),"",1-K36/J36)</f>
        <v/>
      </c>
      <c r="S36" s="45" t="str">
        <f aca="false">IF(OR(I36="",M36=""),"",M36-I36)</f>
        <v/>
      </c>
      <c r="T36" s="24" t="str">
        <f aca="false">IF(OR(J36="",O36="",J36=0),"",O36/J36)</f>
        <v/>
      </c>
      <c r="U36" s="46" t="str">
        <f aca="false">IF(OR(J36="",G36="",G36=0),"",J36/G36)</f>
        <v/>
      </c>
      <c r="V36" s="46" t="str">
        <f aca="false">IF(OR(O36="",G36="",G36=0),"",O36/G36)</f>
        <v/>
      </c>
    </row>
    <row r="37" customFormat="false" ht="15" hidden="false" customHeight="false" outlineLevel="0" collapsed="false">
      <c r="A37" s="30"/>
      <c r="B37" s="30"/>
      <c r="C37" s="30"/>
      <c r="D37" s="30"/>
      <c r="E37" s="27"/>
      <c r="F37" s="47"/>
      <c r="G37" s="27"/>
      <c r="H37" s="30"/>
      <c r="I37" s="43"/>
      <c r="J37" s="41"/>
      <c r="K37" s="41"/>
      <c r="L37" s="30"/>
      <c r="M37" s="43"/>
      <c r="N37" s="43"/>
      <c r="O37" s="41"/>
      <c r="P37" s="43"/>
      <c r="Q37" s="30"/>
      <c r="R37" s="24" t="str">
        <f aca="false">IF(OR(J37="",K37="",J37=0),"",1-K37/J37)</f>
        <v/>
      </c>
      <c r="S37" s="45" t="str">
        <f aca="false">IF(OR(I37="",M37=""),"",M37-I37)</f>
        <v/>
      </c>
      <c r="T37" s="24" t="str">
        <f aca="false">IF(OR(J37="",O37="",J37=0),"",O37/J37)</f>
        <v/>
      </c>
      <c r="U37" s="46" t="str">
        <f aca="false">IF(OR(J37="",G37="",G37=0),"",J37/G37)</f>
        <v/>
      </c>
      <c r="V37" s="46" t="str">
        <f aca="false">IF(OR(O37="",G37="",G37=0),"",O37/G37)</f>
        <v/>
      </c>
    </row>
    <row r="38" customFormat="false" ht="15" hidden="false" customHeight="false" outlineLevel="0" collapsed="false">
      <c r="A38" s="30"/>
      <c r="B38" s="30"/>
      <c r="C38" s="30"/>
      <c r="D38" s="30"/>
      <c r="E38" s="27"/>
      <c r="F38" s="47"/>
      <c r="G38" s="27"/>
      <c r="H38" s="30"/>
      <c r="I38" s="43"/>
      <c r="J38" s="41"/>
      <c r="K38" s="41"/>
      <c r="L38" s="30"/>
      <c r="M38" s="43"/>
      <c r="N38" s="43"/>
      <c r="O38" s="41"/>
      <c r="P38" s="43"/>
      <c r="Q38" s="30"/>
      <c r="R38" s="24" t="str">
        <f aca="false">IF(OR(J38="",K38="",J38=0),"",1-K38/J38)</f>
        <v/>
      </c>
      <c r="S38" s="45" t="str">
        <f aca="false">IF(OR(I38="",M38=""),"",M38-I38)</f>
        <v/>
      </c>
      <c r="T38" s="24" t="str">
        <f aca="false">IF(OR(J38="",O38="",J38=0),"",O38/J38)</f>
        <v/>
      </c>
      <c r="U38" s="46" t="str">
        <f aca="false">IF(OR(J38="",G38="",G38=0),"",J38/G38)</f>
        <v/>
      </c>
      <c r="V38" s="46" t="str">
        <f aca="false">IF(OR(O38="",G38="",G38=0),"",O38/G38)</f>
        <v/>
      </c>
    </row>
    <row r="39" customFormat="false" ht="15" hidden="false" customHeight="false" outlineLevel="0" collapsed="false">
      <c r="A39" s="30"/>
      <c r="B39" s="30"/>
      <c r="C39" s="30"/>
      <c r="D39" s="30"/>
      <c r="E39" s="27"/>
      <c r="F39" s="47"/>
      <c r="G39" s="27"/>
      <c r="H39" s="30"/>
      <c r="I39" s="43"/>
      <c r="J39" s="41"/>
      <c r="K39" s="41"/>
      <c r="L39" s="30"/>
      <c r="M39" s="43"/>
      <c r="N39" s="43"/>
      <c r="O39" s="41"/>
      <c r="P39" s="43"/>
      <c r="Q39" s="30"/>
      <c r="R39" s="24" t="str">
        <f aca="false">IF(OR(J39="",K39="",J39=0),"",1-K39/J39)</f>
        <v/>
      </c>
      <c r="S39" s="45" t="str">
        <f aca="false">IF(OR(I39="",M39=""),"",M39-I39)</f>
        <v/>
      </c>
      <c r="T39" s="24" t="str">
        <f aca="false">IF(OR(J39="",O39="",J39=0),"",O39/J39)</f>
        <v/>
      </c>
      <c r="U39" s="46" t="str">
        <f aca="false">IF(OR(J39="",G39="",G39=0),"",J39/G39)</f>
        <v/>
      </c>
      <c r="V39" s="46" t="str">
        <f aca="false">IF(OR(O39="",G39="",G39=0),"",O39/G39)</f>
        <v/>
      </c>
    </row>
    <row r="40" customFormat="false" ht="15" hidden="false" customHeight="false" outlineLevel="0" collapsed="false">
      <c r="A40" s="30"/>
      <c r="B40" s="30"/>
      <c r="C40" s="30"/>
      <c r="D40" s="30"/>
      <c r="E40" s="27"/>
      <c r="F40" s="47"/>
      <c r="G40" s="27"/>
      <c r="H40" s="30"/>
      <c r="I40" s="43"/>
      <c r="J40" s="41"/>
      <c r="K40" s="41"/>
      <c r="L40" s="30"/>
      <c r="M40" s="43"/>
      <c r="N40" s="43"/>
      <c r="O40" s="41"/>
      <c r="P40" s="43"/>
      <c r="Q40" s="30"/>
      <c r="R40" s="24" t="str">
        <f aca="false">IF(OR(J40="",K40="",J40=0),"",1-K40/J40)</f>
        <v/>
      </c>
      <c r="S40" s="45" t="str">
        <f aca="false">IF(OR(I40="",M40=""),"",M40-I40)</f>
        <v/>
      </c>
      <c r="T40" s="24" t="str">
        <f aca="false">IF(OR(J40="",O40="",J40=0),"",O40/J40)</f>
        <v/>
      </c>
      <c r="U40" s="46" t="str">
        <f aca="false">IF(OR(J40="",G40="",G40=0),"",J40/G40)</f>
        <v/>
      </c>
      <c r="V40" s="46" t="str">
        <f aca="false">IF(OR(O40="",G40="",G40=0),"",O40/G40)</f>
        <v/>
      </c>
    </row>
    <row r="41" customFormat="false" ht="15" hidden="false" customHeight="false" outlineLevel="0" collapsed="false">
      <c r="A41" s="30"/>
      <c r="B41" s="30"/>
      <c r="C41" s="30"/>
      <c r="D41" s="30"/>
      <c r="E41" s="27"/>
      <c r="F41" s="47"/>
      <c r="G41" s="27"/>
      <c r="H41" s="30"/>
      <c r="I41" s="43"/>
      <c r="J41" s="41"/>
      <c r="K41" s="41"/>
      <c r="L41" s="30"/>
      <c r="M41" s="43"/>
      <c r="N41" s="43"/>
      <c r="O41" s="41"/>
      <c r="P41" s="43"/>
      <c r="Q41" s="30"/>
      <c r="R41" s="24" t="str">
        <f aca="false">IF(OR(J41="",K41="",J41=0),"",1-K41/J41)</f>
        <v/>
      </c>
      <c r="S41" s="45" t="str">
        <f aca="false">IF(OR(I41="",M41=""),"",M41-I41)</f>
        <v/>
      </c>
      <c r="T41" s="24" t="str">
        <f aca="false">IF(OR(J41="",O41="",J41=0),"",O41/J41)</f>
        <v/>
      </c>
      <c r="U41" s="46" t="str">
        <f aca="false">IF(OR(J41="",G41="",G41=0),"",J41/G41)</f>
        <v/>
      </c>
      <c r="V41" s="46" t="str">
        <f aca="false">IF(OR(O41="",G41="",G41=0),"",O41/G41)</f>
        <v/>
      </c>
    </row>
    <row r="42" customFormat="false" ht="15" hidden="false" customHeight="false" outlineLevel="0" collapsed="false">
      <c r="A42" s="30"/>
      <c r="B42" s="30"/>
      <c r="C42" s="30"/>
      <c r="D42" s="30"/>
      <c r="E42" s="27"/>
      <c r="F42" s="47"/>
      <c r="G42" s="27"/>
      <c r="H42" s="30"/>
      <c r="I42" s="43"/>
      <c r="J42" s="41"/>
      <c r="K42" s="41"/>
      <c r="L42" s="30"/>
      <c r="M42" s="43"/>
      <c r="N42" s="43"/>
      <c r="O42" s="41"/>
      <c r="P42" s="43"/>
      <c r="Q42" s="30"/>
      <c r="R42" s="24" t="str">
        <f aca="false">IF(OR(J42="",K42="",J42=0),"",1-K42/J42)</f>
        <v/>
      </c>
      <c r="S42" s="45" t="str">
        <f aca="false">IF(OR(I42="",M42=""),"",M42-I42)</f>
        <v/>
      </c>
      <c r="T42" s="24" t="str">
        <f aca="false">IF(OR(J42="",O42="",J42=0),"",O42/J42)</f>
        <v/>
      </c>
      <c r="U42" s="46" t="str">
        <f aca="false">IF(OR(J42="",G42="",G42=0),"",J42/G42)</f>
        <v/>
      </c>
      <c r="V42" s="46" t="str">
        <f aca="false">IF(OR(O42="",G42="",G42=0),"",O42/G42)</f>
        <v/>
      </c>
    </row>
    <row r="43" customFormat="false" ht="15" hidden="false" customHeight="false" outlineLevel="0" collapsed="false">
      <c r="A43" s="30"/>
      <c r="B43" s="30"/>
      <c r="C43" s="30"/>
      <c r="D43" s="30"/>
      <c r="E43" s="27"/>
      <c r="F43" s="47"/>
      <c r="G43" s="27"/>
      <c r="H43" s="30"/>
      <c r="I43" s="43"/>
      <c r="J43" s="41"/>
      <c r="K43" s="41"/>
      <c r="L43" s="30"/>
      <c r="M43" s="43"/>
      <c r="N43" s="43"/>
      <c r="O43" s="41"/>
      <c r="P43" s="43"/>
      <c r="Q43" s="30"/>
      <c r="R43" s="24" t="str">
        <f aca="false">IF(OR(J43="",K43="",J43=0),"",1-K43/J43)</f>
        <v/>
      </c>
      <c r="S43" s="45" t="str">
        <f aca="false">IF(OR(I43="",M43=""),"",M43-I43)</f>
        <v/>
      </c>
      <c r="T43" s="24" t="str">
        <f aca="false">IF(OR(J43="",O43="",J43=0),"",O43/J43)</f>
        <v/>
      </c>
      <c r="U43" s="46" t="str">
        <f aca="false">IF(OR(J43="",G43="",G43=0),"",J43/G43)</f>
        <v/>
      </c>
      <c r="V43" s="46" t="str">
        <f aca="false">IF(OR(O43="",G43="",G43=0),"",O43/G43)</f>
        <v/>
      </c>
    </row>
    <row r="44" customFormat="false" ht="15" hidden="false" customHeight="false" outlineLevel="0" collapsed="false">
      <c r="A44" s="30"/>
      <c r="B44" s="30"/>
      <c r="C44" s="30"/>
      <c r="D44" s="30"/>
      <c r="E44" s="27"/>
      <c r="F44" s="47"/>
      <c r="G44" s="27"/>
      <c r="H44" s="30"/>
      <c r="I44" s="43"/>
      <c r="J44" s="41"/>
      <c r="K44" s="41"/>
      <c r="L44" s="30"/>
      <c r="M44" s="43"/>
      <c r="N44" s="43"/>
      <c r="O44" s="41"/>
      <c r="P44" s="43"/>
      <c r="Q44" s="30"/>
      <c r="R44" s="24" t="str">
        <f aca="false">IF(OR(J44="",K44="",J44=0),"",1-K44/J44)</f>
        <v/>
      </c>
      <c r="S44" s="45" t="str">
        <f aca="false">IF(OR(I44="",M44=""),"",M44-I44)</f>
        <v/>
      </c>
      <c r="T44" s="24" t="str">
        <f aca="false">IF(OR(J44="",O44="",J44=0),"",O44/J44)</f>
        <v/>
      </c>
      <c r="U44" s="46" t="str">
        <f aca="false">IF(OR(J44="",G44="",G44=0),"",J44/G44)</f>
        <v/>
      </c>
      <c r="V44" s="46" t="str">
        <f aca="false">IF(OR(O44="",G44="",G44=0),"",O44/G44)</f>
        <v/>
      </c>
    </row>
    <row r="45" customFormat="false" ht="15" hidden="false" customHeight="false" outlineLevel="0" collapsed="false">
      <c r="A45" s="30"/>
      <c r="B45" s="30"/>
      <c r="C45" s="30"/>
      <c r="D45" s="30"/>
      <c r="E45" s="27"/>
      <c r="F45" s="47"/>
      <c r="G45" s="27"/>
      <c r="H45" s="30"/>
      <c r="I45" s="43"/>
      <c r="J45" s="41"/>
      <c r="K45" s="41"/>
      <c r="L45" s="30"/>
      <c r="M45" s="43"/>
      <c r="N45" s="43"/>
      <c r="O45" s="41"/>
      <c r="P45" s="43"/>
      <c r="Q45" s="30"/>
      <c r="R45" s="24" t="str">
        <f aca="false">IF(OR(J45="",K45="",J45=0),"",1-K45/J45)</f>
        <v/>
      </c>
      <c r="S45" s="45" t="str">
        <f aca="false">IF(OR(I45="",M45=""),"",M45-I45)</f>
        <v/>
      </c>
      <c r="T45" s="24" t="str">
        <f aca="false">IF(OR(J45="",O45="",J45=0),"",O45/J45)</f>
        <v/>
      </c>
      <c r="U45" s="46" t="str">
        <f aca="false">IF(OR(J45="",G45="",G45=0),"",J45/G45)</f>
        <v/>
      </c>
      <c r="V45" s="46" t="str">
        <f aca="false">IF(OR(O45="",G45="",G45=0),"",O45/G45)</f>
        <v/>
      </c>
    </row>
    <row r="46" customFormat="false" ht="15" hidden="false" customHeight="false" outlineLevel="0" collapsed="false">
      <c r="A46" s="30"/>
      <c r="B46" s="30"/>
      <c r="C46" s="30"/>
      <c r="D46" s="30"/>
      <c r="E46" s="27"/>
      <c r="F46" s="47"/>
      <c r="G46" s="27"/>
      <c r="H46" s="30"/>
      <c r="I46" s="43"/>
      <c r="J46" s="41"/>
      <c r="K46" s="41"/>
      <c r="L46" s="30"/>
      <c r="M46" s="43"/>
      <c r="N46" s="43"/>
      <c r="O46" s="41"/>
      <c r="P46" s="43"/>
      <c r="Q46" s="30"/>
      <c r="R46" s="24" t="str">
        <f aca="false">IF(OR(J46="",K46="",J46=0),"",1-K46/J46)</f>
        <v/>
      </c>
      <c r="S46" s="45" t="str">
        <f aca="false">IF(OR(I46="",M46=""),"",M46-I46)</f>
        <v/>
      </c>
      <c r="T46" s="24" t="str">
        <f aca="false">IF(OR(J46="",O46="",J46=0),"",O46/J46)</f>
        <v/>
      </c>
      <c r="U46" s="46" t="str">
        <f aca="false">IF(OR(J46="",G46="",G46=0),"",J46/G46)</f>
        <v/>
      </c>
      <c r="V46" s="46" t="str">
        <f aca="false">IF(OR(O46="",G46="",G46=0),"",O46/G46)</f>
        <v/>
      </c>
    </row>
    <row r="47" customFormat="false" ht="15" hidden="false" customHeight="false" outlineLevel="0" collapsed="false">
      <c r="A47" s="30"/>
      <c r="B47" s="30"/>
      <c r="C47" s="30"/>
      <c r="D47" s="30"/>
      <c r="E47" s="27"/>
      <c r="F47" s="47"/>
      <c r="G47" s="27"/>
      <c r="H47" s="30"/>
      <c r="I47" s="43"/>
      <c r="J47" s="41"/>
      <c r="K47" s="41"/>
      <c r="L47" s="30"/>
      <c r="M47" s="43"/>
      <c r="N47" s="43"/>
      <c r="O47" s="41"/>
      <c r="P47" s="43"/>
      <c r="Q47" s="30"/>
      <c r="R47" s="24" t="str">
        <f aca="false">IF(OR(J47="",K47="",J47=0),"",1-K47/J47)</f>
        <v/>
      </c>
      <c r="S47" s="45" t="str">
        <f aca="false">IF(OR(I47="",M47=""),"",M47-I47)</f>
        <v/>
      </c>
      <c r="T47" s="24" t="str">
        <f aca="false">IF(OR(J47="",O47="",J47=0),"",O47/J47)</f>
        <v/>
      </c>
      <c r="U47" s="46" t="str">
        <f aca="false">IF(OR(J47="",G47="",G47=0),"",J47/G47)</f>
        <v/>
      </c>
      <c r="V47" s="46" t="str">
        <f aca="false">IF(OR(O47="",G47="",G47=0),"",O47/G47)</f>
        <v/>
      </c>
    </row>
    <row r="48" customFormat="false" ht="15" hidden="false" customHeight="false" outlineLevel="0" collapsed="false">
      <c r="A48" s="30"/>
      <c r="B48" s="30"/>
      <c r="C48" s="30"/>
      <c r="D48" s="30"/>
      <c r="E48" s="27"/>
      <c r="F48" s="47"/>
      <c r="G48" s="27"/>
      <c r="H48" s="30"/>
      <c r="I48" s="43"/>
      <c r="J48" s="41"/>
      <c r="K48" s="41"/>
      <c r="L48" s="30"/>
      <c r="M48" s="43"/>
      <c r="N48" s="43"/>
      <c r="O48" s="41"/>
      <c r="P48" s="43"/>
      <c r="Q48" s="30"/>
      <c r="R48" s="24" t="str">
        <f aca="false">IF(OR(J48="",K48="",J48=0),"",1-K48/J48)</f>
        <v/>
      </c>
      <c r="S48" s="45" t="str">
        <f aca="false">IF(OR(I48="",M48=""),"",M48-I48)</f>
        <v/>
      </c>
      <c r="T48" s="24" t="str">
        <f aca="false">IF(OR(J48="",O48="",J48=0),"",O48/J48)</f>
        <v/>
      </c>
      <c r="U48" s="46" t="str">
        <f aca="false">IF(OR(J48="",G48="",G48=0),"",J48/G48)</f>
        <v/>
      </c>
      <c r="V48" s="46" t="str">
        <f aca="false">IF(OR(O48="",G48="",G48=0),"",O48/G48)</f>
        <v/>
      </c>
    </row>
    <row r="49" customFormat="false" ht="15" hidden="false" customHeight="false" outlineLevel="0" collapsed="false">
      <c r="A49" s="30"/>
      <c r="B49" s="30"/>
      <c r="C49" s="30"/>
      <c r="D49" s="30"/>
      <c r="E49" s="27"/>
      <c r="F49" s="47"/>
      <c r="G49" s="27"/>
      <c r="H49" s="30"/>
      <c r="I49" s="43"/>
      <c r="J49" s="41"/>
      <c r="K49" s="41"/>
      <c r="L49" s="30"/>
      <c r="M49" s="43"/>
      <c r="N49" s="43"/>
      <c r="O49" s="41"/>
      <c r="P49" s="43"/>
      <c r="Q49" s="30"/>
      <c r="R49" s="24" t="str">
        <f aca="false">IF(OR(J49="",K49="",J49=0),"",1-K49/J49)</f>
        <v/>
      </c>
      <c r="S49" s="45" t="str">
        <f aca="false">IF(OR(I49="",M49=""),"",M49-I49)</f>
        <v/>
      </c>
      <c r="T49" s="24" t="str">
        <f aca="false">IF(OR(J49="",O49="",J49=0),"",O49/J49)</f>
        <v/>
      </c>
      <c r="U49" s="46" t="str">
        <f aca="false">IF(OR(J49="",G49="",G49=0),"",J49/G49)</f>
        <v/>
      </c>
      <c r="V49" s="46" t="str">
        <f aca="false">IF(OR(O49="",G49="",G49=0),"",O49/G49)</f>
        <v/>
      </c>
    </row>
    <row r="50" customFormat="false" ht="15" hidden="false" customHeight="false" outlineLevel="0" collapsed="false">
      <c r="A50" s="30"/>
      <c r="B50" s="30"/>
      <c r="C50" s="30"/>
      <c r="D50" s="30"/>
      <c r="E50" s="27"/>
      <c r="F50" s="47"/>
      <c r="G50" s="27"/>
      <c r="H50" s="30"/>
      <c r="I50" s="43"/>
      <c r="J50" s="41"/>
      <c r="K50" s="41"/>
      <c r="L50" s="30"/>
      <c r="M50" s="43"/>
      <c r="N50" s="43"/>
      <c r="O50" s="41"/>
      <c r="P50" s="43"/>
      <c r="Q50" s="30"/>
      <c r="R50" s="24" t="str">
        <f aca="false">IF(OR(J50="",K50="",J50=0),"",1-K50/J50)</f>
        <v/>
      </c>
      <c r="S50" s="45" t="str">
        <f aca="false">IF(OR(I50="",M50=""),"",M50-I50)</f>
        <v/>
      </c>
      <c r="T50" s="24" t="str">
        <f aca="false">IF(OR(J50="",O50="",J50=0),"",O50/J50)</f>
        <v/>
      </c>
      <c r="U50" s="46" t="str">
        <f aca="false">IF(OR(J50="",G50="",G50=0),"",J50/G50)</f>
        <v/>
      </c>
      <c r="V50" s="46" t="str">
        <f aca="false">IF(OR(O50="",G50="",G50=0),"",O50/G50)</f>
        <v/>
      </c>
    </row>
    <row r="51" customFormat="false" ht="15" hidden="false" customHeight="false" outlineLevel="0" collapsed="false">
      <c r="A51" s="30"/>
      <c r="B51" s="30"/>
      <c r="C51" s="30"/>
      <c r="D51" s="30"/>
      <c r="E51" s="27"/>
      <c r="F51" s="47"/>
      <c r="G51" s="27"/>
      <c r="H51" s="30"/>
      <c r="I51" s="43"/>
      <c r="J51" s="41"/>
      <c r="K51" s="41"/>
      <c r="L51" s="30"/>
      <c r="M51" s="43"/>
      <c r="N51" s="43"/>
      <c r="O51" s="41"/>
      <c r="P51" s="43"/>
      <c r="Q51" s="30"/>
      <c r="R51" s="24" t="str">
        <f aca="false">IF(OR(J51="",K51="",J51=0),"",1-K51/J51)</f>
        <v/>
      </c>
      <c r="S51" s="45" t="str">
        <f aca="false">IF(OR(I51="",M51=""),"",M51-I51)</f>
        <v/>
      </c>
      <c r="T51" s="24" t="str">
        <f aca="false">IF(OR(J51="",O51="",J51=0),"",O51/J51)</f>
        <v/>
      </c>
      <c r="U51" s="46" t="str">
        <f aca="false">IF(OR(J51="",G51="",G51=0),"",J51/G51)</f>
        <v/>
      </c>
      <c r="V51" s="46" t="str">
        <f aca="false">IF(OR(O51="",G51="",G51=0),"",O51/G51)</f>
        <v/>
      </c>
    </row>
    <row r="52" customFormat="false" ht="15" hidden="false" customHeight="false" outlineLevel="0" collapsed="false">
      <c r="A52" s="30"/>
      <c r="B52" s="30"/>
      <c r="C52" s="30"/>
      <c r="D52" s="30"/>
      <c r="E52" s="27"/>
      <c r="F52" s="47"/>
      <c r="G52" s="27"/>
      <c r="H52" s="30"/>
      <c r="I52" s="43"/>
      <c r="J52" s="41"/>
      <c r="K52" s="41"/>
      <c r="L52" s="30"/>
      <c r="M52" s="43"/>
      <c r="N52" s="43"/>
      <c r="O52" s="41"/>
      <c r="P52" s="43"/>
      <c r="Q52" s="30"/>
      <c r="R52" s="24" t="str">
        <f aca="false">IF(OR(J52="",K52="",J52=0),"",1-K52/J52)</f>
        <v/>
      </c>
      <c r="S52" s="45" t="str">
        <f aca="false">IF(OR(I52="",M52=""),"",M52-I52)</f>
        <v/>
      </c>
      <c r="T52" s="24" t="str">
        <f aca="false">IF(OR(J52="",O52="",J52=0),"",O52/J52)</f>
        <v/>
      </c>
      <c r="U52" s="46" t="str">
        <f aca="false">IF(OR(J52="",G52="",G52=0),"",J52/G52)</f>
        <v/>
      </c>
      <c r="V52" s="46" t="str">
        <f aca="false">IF(OR(O52="",G52="",G52=0),"",O52/G52)</f>
        <v/>
      </c>
    </row>
    <row r="53" customFormat="false" ht="15" hidden="false" customHeight="false" outlineLevel="0" collapsed="false">
      <c r="A53" s="30"/>
      <c r="B53" s="30"/>
      <c r="C53" s="30"/>
      <c r="D53" s="30"/>
      <c r="E53" s="27"/>
      <c r="F53" s="47"/>
      <c r="G53" s="27"/>
      <c r="H53" s="30"/>
      <c r="I53" s="43"/>
      <c r="J53" s="41"/>
      <c r="K53" s="41"/>
      <c r="L53" s="30"/>
      <c r="M53" s="43"/>
      <c r="N53" s="43"/>
      <c r="O53" s="41"/>
      <c r="P53" s="43"/>
      <c r="Q53" s="30"/>
      <c r="R53" s="24" t="str">
        <f aca="false">IF(OR(J53="",K53="",J53=0),"",1-K53/J53)</f>
        <v/>
      </c>
      <c r="S53" s="45" t="str">
        <f aca="false">IF(OR(I53="",M53=""),"",M53-I53)</f>
        <v/>
      </c>
      <c r="T53" s="24" t="str">
        <f aca="false">IF(OR(J53="",O53="",J53=0),"",O53/J53)</f>
        <v/>
      </c>
      <c r="U53" s="46" t="str">
        <f aca="false">IF(OR(J53="",G53="",G53=0),"",J53/G53)</f>
        <v/>
      </c>
      <c r="V53" s="46" t="str">
        <f aca="false">IF(OR(O53="",G53="",G53=0),"",O53/G53)</f>
        <v/>
      </c>
    </row>
    <row r="54" customFormat="false" ht="15" hidden="false" customHeight="false" outlineLevel="0" collapsed="false">
      <c r="A54" s="30"/>
      <c r="B54" s="30"/>
      <c r="C54" s="30"/>
      <c r="D54" s="30"/>
      <c r="E54" s="27"/>
      <c r="F54" s="47"/>
      <c r="G54" s="27"/>
      <c r="H54" s="30"/>
      <c r="I54" s="43"/>
      <c r="J54" s="41"/>
      <c r="K54" s="41"/>
      <c r="L54" s="30"/>
      <c r="M54" s="43"/>
      <c r="N54" s="43"/>
      <c r="O54" s="41"/>
      <c r="P54" s="43"/>
      <c r="Q54" s="30"/>
      <c r="R54" s="24" t="str">
        <f aca="false">IF(OR(J54="",K54="",J54=0),"",1-K54/J54)</f>
        <v/>
      </c>
      <c r="S54" s="45" t="str">
        <f aca="false">IF(OR(I54="",M54=""),"",M54-I54)</f>
        <v/>
      </c>
      <c r="T54" s="24" t="str">
        <f aca="false">IF(OR(J54="",O54="",J54=0),"",O54/J54)</f>
        <v/>
      </c>
      <c r="U54" s="46" t="str">
        <f aca="false">IF(OR(J54="",G54="",G54=0),"",J54/G54)</f>
        <v/>
      </c>
      <c r="V54" s="46" t="str">
        <f aca="false">IF(OR(O54="",G54="",G54=0),"",O54/G54)</f>
        <v/>
      </c>
    </row>
    <row r="55" customFormat="false" ht="15" hidden="false" customHeight="false" outlineLevel="0" collapsed="false">
      <c r="A55" s="30"/>
      <c r="B55" s="30"/>
      <c r="C55" s="30"/>
      <c r="D55" s="30"/>
      <c r="E55" s="27"/>
      <c r="F55" s="47"/>
      <c r="G55" s="27"/>
      <c r="H55" s="30"/>
      <c r="I55" s="43"/>
      <c r="J55" s="41"/>
      <c r="K55" s="41"/>
      <c r="L55" s="30"/>
      <c r="M55" s="43"/>
      <c r="N55" s="43"/>
      <c r="O55" s="41"/>
      <c r="P55" s="43"/>
      <c r="Q55" s="30"/>
      <c r="R55" s="24" t="str">
        <f aca="false">IF(OR(J55="",K55="",J55=0),"",1-K55/J55)</f>
        <v/>
      </c>
      <c r="S55" s="45" t="str">
        <f aca="false">IF(OR(I55="",M55=""),"",M55-I55)</f>
        <v/>
      </c>
      <c r="T55" s="24" t="str">
        <f aca="false">IF(OR(J55="",O55="",J55=0),"",O55/J55)</f>
        <v/>
      </c>
      <c r="U55" s="46" t="str">
        <f aca="false">IF(OR(J55="",G55="",G55=0),"",J55/G55)</f>
        <v/>
      </c>
      <c r="V55" s="46" t="str">
        <f aca="false">IF(OR(O55="",G55="",G55=0),"",O55/G55)</f>
        <v/>
      </c>
    </row>
    <row r="56" customFormat="false" ht="15" hidden="false" customHeight="false" outlineLevel="0" collapsed="false">
      <c r="A56" s="30"/>
      <c r="B56" s="30"/>
      <c r="C56" s="30"/>
      <c r="D56" s="30"/>
      <c r="E56" s="27"/>
      <c r="F56" s="47"/>
      <c r="G56" s="27"/>
      <c r="H56" s="30"/>
      <c r="I56" s="43"/>
      <c r="J56" s="41"/>
      <c r="K56" s="41"/>
      <c r="L56" s="30"/>
      <c r="M56" s="43"/>
      <c r="N56" s="43"/>
      <c r="O56" s="41"/>
      <c r="P56" s="43"/>
      <c r="Q56" s="30"/>
      <c r="R56" s="24" t="str">
        <f aca="false">IF(OR(J56="",K56="",J56=0),"",1-K56/J56)</f>
        <v/>
      </c>
      <c r="S56" s="45" t="str">
        <f aca="false">IF(OR(I56="",M56=""),"",M56-I56)</f>
        <v/>
      </c>
      <c r="T56" s="24" t="str">
        <f aca="false">IF(OR(J56="",O56="",J56=0),"",O56/J56)</f>
        <v/>
      </c>
      <c r="U56" s="46" t="str">
        <f aca="false">IF(OR(J56="",G56="",G56=0),"",J56/G56)</f>
        <v/>
      </c>
      <c r="V56" s="46" t="str">
        <f aca="false">IF(OR(O56="",G56="",G56=0),"",O56/G56)</f>
        <v/>
      </c>
    </row>
    <row r="57" customFormat="false" ht="15" hidden="false" customHeight="false" outlineLevel="0" collapsed="false">
      <c r="A57" s="30"/>
      <c r="B57" s="30"/>
      <c r="C57" s="30"/>
      <c r="D57" s="30"/>
      <c r="E57" s="27"/>
      <c r="F57" s="47"/>
      <c r="G57" s="27"/>
      <c r="H57" s="30"/>
      <c r="I57" s="43"/>
      <c r="J57" s="41"/>
      <c r="K57" s="41"/>
      <c r="L57" s="30"/>
      <c r="M57" s="43"/>
      <c r="N57" s="43"/>
      <c r="O57" s="41"/>
      <c r="P57" s="43"/>
      <c r="Q57" s="30"/>
      <c r="R57" s="24" t="str">
        <f aca="false">IF(OR(J57="",K57="",J57=0),"",1-K57/J57)</f>
        <v/>
      </c>
      <c r="S57" s="45" t="str">
        <f aca="false">IF(OR(I57="",M57=""),"",M57-I57)</f>
        <v/>
      </c>
      <c r="T57" s="24" t="str">
        <f aca="false">IF(OR(J57="",O57="",J57=0),"",O57/J57)</f>
        <v/>
      </c>
      <c r="U57" s="46" t="str">
        <f aca="false">IF(OR(J57="",G57="",G57=0),"",J57/G57)</f>
        <v/>
      </c>
      <c r="V57" s="46" t="str">
        <f aca="false">IF(OR(O57="",G57="",G57=0),"",O57/G57)</f>
        <v/>
      </c>
    </row>
    <row r="58" customFormat="false" ht="15" hidden="false" customHeight="false" outlineLevel="0" collapsed="false">
      <c r="A58" s="30"/>
      <c r="B58" s="30"/>
      <c r="C58" s="30"/>
      <c r="D58" s="30"/>
      <c r="E58" s="27"/>
      <c r="F58" s="47"/>
      <c r="G58" s="27"/>
      <c r="H58" s="30"/>
      <c r="I58" s="43"/>
      <c r="J58" s="41"/>
      <c r="K58" s="41"/>
      <c r="L58" s="30"/>
      <c r="M58" s="43"/>
      <c r="N58" s="43"/>
      <c r="O58" s="41"/>
      <c r="P58" s="43"/>
      <c r="Q58" s="30"/>
      <c r="R58" s="24" t="str">
        <f aca="false">IF(OR(J58="",K58="",J58=0),"",1-K58/J58)</f>
        <v/>
      </c>
      <c r="S58" s="45" t="str">
        <f aca="false">IF(OR(I58="",M58=""),"",M58-I58)</f>
        <v/>
      </c>
      <c r="T58" s="24" t="str">
        <f aca="false">IF(OR(J58="",O58="",J58=0),"",O58/J58)</f>
        <v/>
      </c>
      <c r="U58" s="46" t="str">
        <f aca="false">IF(OR(J58="",G58="",G58=0),"",J58/G58)</f>
        <v/>
      </c>
      <c r="V58" s="46" t="str">
        <f aca="false">IF(OR(O58="",G58="",G58=0),"",O58/G58)</f>
        <v/>
      </c>
    </row>
    <row r="59" customFormat="false" ht="15" hidden="false" customHeight="false" outlineLevel="0" collapsed="false">
      <c r="A59" s="30"/>
      <c r="B59" s="30"/>
      <c r="C59" s="30"/>
      <c r="D59" s="30"/>
      <c r="E59" s="27"/>
      <c r="F59" s="47"/>
      <c r="G59" s="27"/>
      <c r="H59" s="30"/>
      <c r="I59" s="43"/>
      <c r="J59" s="41"/>
      <c r="K59" s="41"/>
      <c r="L59" s="30"/>
      <c r="M59" s="43"/>
      <c r="N59" s="43"/>
      <c r="O59" s="41"/>
      <c r="P59" s="43"/>
      <c r="Q59" s="30"/>
      <c r="R59" s="24" t="str">
        <f aca="false">IF(OR(J59="",K59="",J59=0),"",1-K59/J59)</f>
        <v/>
      </c>
      <c r="S59" s="45" t="str">
        <f aca="false">IF(OR(I59="",M59=""),"",M59-I59)</f>
        <v/>
      </c>
      <c r="T59" s="24" t="str">
        <f aca="false">IF(OR(J59="",O59="",J59=0),"",O59/J59)</f>
        <v/>
      </c>
      <c r="U59" s="46" t="str">
        <f aca="false">IF(OR(J59="",G59="",G59=0),"",J59/G59)</f>
        <v/>
      </c>
      <c r="V59" s="46" t="str">
        <f aca="false">IF(OR(O59="",G59="",G59=0),"",O59/G59)</f>
        <v/>
      </c>
    </row>
    <row r="60" customFormat="false" ht="15" hidden="false" customHeight="false" outlineLevel="0" collapsed="false">
      <c r="A60" s="30"/>
      <c r="B60" s="30"/>
      <c r="C60" s="30"/>
      <c r="D60" s="30"/>
      <c r="E60" s="27"/>
      <c r="F60" s="47"/>
      <c r="G60" s="27"/>
      <c r="H60" s="30"/>
      <c r="I60" s="43"/>
      <c r="J60" s="41"/>
      <c r="K60" s="41"/>
      <c r="L60" s="30"/>
      <c r="M60" s="43"/>
      <c r="N60" s="43"/>
      <c r="O60" s="41"/>
      <c r="P60" s="43"/>
      <c r="Q60" s="30"/>
      <c r="R60" s="24" t="str">
        <f aca="false">IF(OR(J60="",K60="",J60=0),"",1-K60/J60)</f>
        <v/>
      </c>
      <c r="S60" s="45" t="str">
        <f aca="false">IF(OR(I60="",M60=""),"",M60-I60)</f>
        <v/>
      </c>
      <c r="T60" s="24" t="str">
        <f aca="false">IF(OR(J60="",O60="",J60=0),"",O60/J60)</f>
        <v/>
      </c>
      <c r="U60" s="46" t="str">
        <f aca="false">IF(OR(J60="",G60="",G60=0),"",J60/G60)</f>
        <v/>
      </c>
      <c r="V60" s="46" t="str">
        <f aca="false">IF(OR(O60="",G60="",G60=0),"",O60/G60)</f>
        <v/>
      </c>
    </row>
    <row r="61" customFormat="false" ht="15" hidden="false" customHeight="false" outlineLevel="0" collapsed="false">
      <c r="A61" s="30"/>
      <c r="B61" s="30"/>
      <c r="C61" s="30"/>
      <c r="D61" s="30"/>
      <c r="E61" s="27"/>
      <c r="F61" s="47"/>
      <c r="G61" s="27"/>
      <c r="H61" s="30"/>
      <c r="I61" s="43"/>
      <c r="J61" s="41"/>
      <c r="K61" s="41"/>
      <c r="L61" s="30"/>
      <c r="M61" s="43"/>
      <c r="N61" s="43"/>
      <c r="O61" s="41"/>
      <c r="P61" s="43"/>
      <c r="Q61" s="30"/>
      <c r="R61" s="24" t="str">
        <f aca="false">IF(OR(J61="",K61="",J61=0),"",1-K61/J61)</f>
        <v/>
      </c>
      <c r="S61" s="45" t="str">
        <f aca="false">IF(OR(I61="",M61=""),"",M61-I61)</f>
        <v/>
      </c>
      <c r="T61" s="24" t="str">
        <f aca="false">IF(OR(J61="",O61="",J61=0),"",O61/J61)</f>
        <v/>
      </c>
      <c r="U61" s="46" t="str">
        <f aca="false">IF(OR(J61="",G61="",G61=0),"",J61/G61)</f>
        <v/>
      </c>
      <c r="V61" s="46" t="str">
        <f aca="false">IF(OR(O61="",G61="",G61=0),"",O61/G61)</f>
        <v/>
      </c>
    </row>
    <row r="62" customFormat="false" ht="15" hidden="false" customHeight="false" outlineLevel="0" collapsed="false">
      <c r="A62" s="30"/>
      <c r="B62" s="30"/>
      <c r="C62" s="30"/>
      <c r="D62" s="30"/>
      <c r="E62" s="27"/>
      <c r="F62" s="47"/>
      <c r="G62" s="27"/>
      <c r="H62" s="30"/>
      <c r="I62" s="43"/>
      <c r="J62" s="41"/>
      <c r="K62" s="41"/>
      <c r="L62" s="30"/>
      <c r="M62" s="43"/>
      <c r="N62" s="43"/>
      <c r="O62" s="41"/>
      <c r="P62" s="43"/>
      <c r="Q62" s="30"/>
      <c r="R62" s="24" t="str">
        <f aca="false">IF(OR(J62="",K62="",J62=0),"",1-K62/J62)</f>
        <v/>
      </c>
      <c r="S62" s="45" t="str">
        <f aca="false">IF(OR(I62="",M62=""),"",M62-I62)</f>
        <v/>
      </c>
      <c r="T62" s="24" t="str">
        <f aca="false">IF(OR(J62="",O62="",J62=0),"",O62/J62)</f>
        <v/>
      </c>
      <c r="U62" s="46" t="str">
        <f aca="false">IF(OR(J62="",G62="",G62=0),"",J62/G62)</f>
        <v/>
      </c>
      <c r="V62" s="46" t="str">
        <f aca="false">IF(OR(O62="",G62="",G62=0),"",O62/G62)</f>
        <v/>
      </c>
    </row>
    <row r="63" customFormat="false" ht="15" hidden="false" customHeight="false" outlineLevel="0" collapsed="false">
      <c r="A63" s="30"/>
      <c r="B63" s="30"/>
      <c r="C63" s="30"/>
      <c r="D63" s="30"/>
      <c r="E63" s="27"/>
      <c r="F63" s="47"/>
      <c r="G63" s="27"/>
      <c r="H63" s="30"/>
      <c r="I63" s="43"/>
      <c r="J63" s="41"/>
      <c r="K63" s="41"/>
      <c r="L63" s="30"/>
      <c r="M63" s="43"/>
      <c r="N63" s="43"/>
      <c r="O63" s="41"/>
      <c r="P63" s="43"/>
      <c r="Q63" s="30"/>
      <c r="R63" s="24" t="str">
        <f aca="false">IF(OR(J63="",K63="",J63=0),"",1-K63/J63)</f>
        <v/>
      </c>
      <c r="S63" s="45" t="str">
        <f aca="false">IF(OR(I63="",M63=""),"",M63-I63)</f>
        <v/>
      </c>
      <c r="T63" s="24" t="str">
        <f aca="false">IF(OR(J63="",O63="",J63=0),"",O63/J63)</f>
        <v/>
      </c>
      <c r="U63" s="46" t="str">
        <f aca="false">IF(OR(J63="",G63="",G63=0),"",J63/G63)</f>
        <v/>
      </c>
      <c r="V63" s="46" t="str">
        <f aca="false">IF(OR(O63="",G63="",G63=0),"",O63/G63)</f>
        <v/>
      </c>
    </row>
    <row r="64" customFormat="false" ht="15" hidden="false" customHeight="false" outlineLevel="0" collapsed="false">
      <c r="A64" s="30"/>
      <c r="B64" s="30"/>
      <c r="C64" s="30"/>
      <c r="D64" s="30"/>
      <c r="E64" s="27"/>
      <c r="F64" s="47"/>
      <c r="G64" s="27"/>
      <c r="H64" s="30"/>
      <c r="I64" s="43"/>
      <c r="J64" s="41"/>
      <c r="K64" s="41"/>
      <c r="L64" s="30"/>
      <c r="M64" s="43"/>
      <c r="N64" s="43"/>
      <c r="O64" s="41"/>
      <c r="P64" s="43"/>
      <c r="Q64" s="30"/>
      <c r="R64" s="24" t="str">
        <f aca="false">IF(OR(J64="",K64="",J64=0),"",1-K64/J64)</f>
        <v/>
      </c>
      <c r="S64" s="45" t="str">
        <f aca="false">IF(OR(I64="",M64=""),"",M64-I64)</f>
        <v/>
      </c>
      <c r="T64" s="24" t="str">
        <f aca="false">IF(OR(J64="",O64="",J64=0),"",O64/J64)</f>
        <v/>
      </c>
      <c r="U64" s="46" t="str">
        <f aca="false">IF(OR(J64="",G64="",G64=0),"",J64/G64)</f>
        <v/>
      </c>
      <c r="V64" s="46" t="str">
        <f aca="false">IF(OR(O64="",G64="",G64=0),"",O64/G64)</f>
        <v/>
      </c>
    </row>
    <row r="65" customFormat="false" ht="15" hidden="false" customHeight="false" outlineLevel="0" collapsed="false">
      <c r="A65" s="30"/>
      <c r="B65" s="30"/>
      <c r="C65" s="30"/>
      <c r="D65" s="30"/>
      <c r="E65" s="27"/>
      <c r="F65" s="47"/>
      <c r="G65" s="27"/>
      <c r="H65" s="30"/>
      <c r="I65" s="43"/>
      <c r="J65" s="41"/>
      <c r="K65" s="41"/>
      <c r="L65" s="30"/>
      <c r="M65" s="43"/>
      <c r="N65" s="43"/>
      <c r="O65" s="41"/>
      <c r="P65" s="43"/>
      <c r="Q65" s="30"/>
      <c r="R65" s="24" t="str">
        <f aca="false">IF(OR(J65="",K65="",J65=0),"",1-K65/J65)</f>
        <v/>
      </c>
      <c r="S65" s="45" t="str">
        <f aca="false">IF(OR(I65="",M65=""),"",M65-I65)</f>
        <v/>
      </c>
      <c r="T65" s="24" t="str">
        <f aca="false">IF(OR(J65="",O65="",J65=0),"",O65/J65)</f>
        <v/>
      </c>
      <c r="U65" s="46" t="str">
        <f aca="false">IF(OR(J65="",G65="",G65=0),"",J65/G65)</f>
        <v/>
      </c>
      <c r="V65" s="46" t="str">
        <f aca="false">IF(OR(O65="",G65="",G65=0),"",O65/G65)</f>
        <v/>
      </c>
    </row>
    <row r="66" customFormat="false" ht="15" hidden="false" customHeight="false" outlineLevel="0" collapsed="false">
      <c r="A66" s="30"/>
      <c r="B66" s="30"/>
      <c r="C66" s="30"/>
      <c r="D66" s="30"/>
      <c r="E66" s="27"/>
      <c r="F66" s="47"/>
      <c r="G66" s="27"/>
      <c r="H66" s="30"/>
      <c r="I66" s="43"/>
      <c r="J66" s="41"/>
      <c r="K66" s="41"/>
      <c r="L66" s="30"/>
      <c r="M66" s="43"/>
      <c r="N66" s="43"/>
      <c r="O66" s="41"/>
      <c r="P66" s="43"/>
      <c r="Q66" s="30"/>
      <c r="R66" s="24" t="str">
        <f aca="false">IF(OR(J66="",K66="",J66=0),"",1-K66/J66)</f>
        <v/>
      </c>
      <c r="S66" s="45" t="str">
        <f aca="false">IF(OR(I66="",M66=""),"",M66-I66)</f>
        <v/>
      </c>
      <c r="T66" s="24" t="str">
        <f aca="false">IF(OR(J66="",O66="",J66=0),"",O66/J66)</f>
        <v/>
      </c>
      <c r="U66" s="46" t="str">
        <f aca="false">IF(OR(J66="",G66="",G66=0),"",J66/G66)</f>
        <v/>
      </c>
      <c r="V66" s="46" t="str">
        <f aca="false">IF(OR(O66="",G66="",G66=0),"",O66/G66)</f>
        <v/>
      </c>
    </row>
    <row r="67" customFormat="false" ht="15" hidden="false" customHeight="false" outlineLevel="0" collapsed="false">
      <c r="A67" s="30"/>
      <c r="B67" s="30"/>
      <c r="C67" s="30"/>
      <c r="D67" s="30"/>
      <c r="E67" s="27"/>
      <c r="F67" s="47"/>
      <c r="G67" s="27"/>
      <c r="H67" s="30"/>
      <c r="I67" s="43"/>
      <c r="J67" s="41"/>
      <c r="K67" s="41"/>
      <c r="L67" s="30"/>
      <c r="M67" s="43"/>
      <c r="N67" s="43"/>
      <c r="O67" s="41"/>
      <c r="P67" s="43"/>
      <c r="Q67" s="30"/>
      <c r="R67" s="24" t="str">
        <f aca="false">IF(OR(J67="",K67="",J67=0),"",1-K67/J67)</f>
        <v/>
      </c>
      <c r="S67" s="45" t="str">
        <f aca="false">IF(OR(I67="",M67=""),"",M67-I67)</f>
        <v/>
      </c>
      <c r="T67" s="24" t="str">
        <f aca="false">IF(OR(J67="",O67="",J67=0),"",O67/J67)</f>
        <v/>
      </c>
      <c r="U67" s="46" t="str">
        <f aca="false">IF(OR(J67="",G67="",G67=0),"",J67/G67)</f>
        <v/>
      </c>
      <c r="V67" s="46" t="str">
        <f aca="false">IF(OR(O67="",G67="",G67=0),"",O67/G67)</f>
        <v/>
      </c>
    </row>
    <row r="68" customFormat="false" ht="15" hidden="false" customHeight="false" outlineLevel="0" collapsed="false">
      <c r="A68" s="30"/>
      <c r="B68" s="30"/>
      <c r="C68" s="30"/>
      <c r="D68" s="30"/>
      <c r="E68" s="27"/>
      <c r="F68" s="47"/>
      <c r="G68" s="27"/>
      <c r="H68" s="30"/>
      <c r="I68" s="43"/>
      <c r="J68" s="41"/>
      <c r="K68" s="41"/>
      <c r="L68" s="30"/>
      <c r="M68" s="43"/>
      <c r="N68" s="43"/>
      <c r="O68" s="41"/>
      <c r="P68" s="43"/>
      <c r="Q68" s="30"/>
      <c r="R68" s="24" t="str">
        <f aca="false">IF(OR(J68="",K68="",J68=0),"",1-K68/J68)</f>
        <v/>
      </c>
      <c r="S68" s="45" t="str">
        <f aca="false">IF(OR(I68="",M68=""),"",M68-I68)</f>
        <v/>
      </c>
      <c r="T68" s="24" t="str">
        <f aca="false">IF(OR(J68="",O68="",J68=0),"",O68/J68)</f>
        <v/>
      </c>
      <c r="U68" s="46" t="str">
        <f aca="false">IF(OR(J68="",G68="",G68=0),"",J68/G68)</f>
        <v/>
      </c>
      <c r="V68" s="46" t="str">
        <f aca="false">IF(OR(O68="",G68="",G68=0),"",O68/G68)</f>
        <v/>
      </c>
    </row>
    <row r="69" customFormat="false" ht="15" hidden="false" customHeight="false" outlineLevel="0" collapsed="false">
      <c r="A69" s="30"/>
      <c r="B69" s="30"/>
      <c r="C69" s="30"/>
      <c r="D69" s="30"/>
      <c r="E69" s="27"/>
      <c r="F69" s="47"/>
      <c r="G69" s="27"/>
      <c r="H69" s="30"/>
      <c r="I69" s="43"/>
      <c r="J69" s="41"/>
      <c r="K69" s="41"/>
      <c r="L69" s="30"/>
      <c r="M69" s="43"/>
      <c r="N69" s="43"/>
      <c r="O69" s="41"/>
      <c r="P69" s="43"/>
      <c r="Q69" s="30"/>
      <c r="R69" s="24" t="str">
        <f aca="false">IF(OR(J69="",K69="",J69=0),"",1-K69/J69)</f>
        <v/>
      </c>
      <c r="S69" s="45" t="str">
        <f aca="false">IF(OR(I69="",M69=""),"",M69-I69)</f>
        <v/>
      </c>
      <c r="T69" s="24" t="str">
        <f aca="false">IF(OR(J69="",O69="",J69=0),"",O69/J69)</f>
        <v/>
      </c>
      <c r="U69" s="46" t="str">
        <f aca="false">IF(OR(J69="",G69="",G69=0),"",J69/G69)</f>
        <v/>
      </c>
      <c r="V69" s="46" t="str">
        <f aca="false">IF(OR(O69="",G69="",G69=0),"",O69/G69)</f>
        <v/>
      </c>
    </row>
    <row r="70" customFormat="false" ht="15" hidden="false" customHeight="false" outlineLevel="0" collapsed="false">
      <c r="A70" s="30"/>
      <c r="B70" s="30"/>
      <c r="C70" s="30"/>
      <c r="D70" s="30"/>
      <c r="E70" s="27"/>
      <c r="F70" s="47"/>
      <c r="G70" s="27"/>
      <c r="H70" s="30"/>
      <c r="I70" s="43"/>
      <c r="J70" s="41"/>
      <c r="K70" s="41"/>
      <c r="L70" s="30"/>
      <c r="M70" s="43"/>
      <c r="N70" s="43"/>
      <c r="O70" s="41"/>
      <c r="P70" s="43"/>
      <c r="Q70" s="30"/>
      <c r="R70" s="24" t="str">
        <f aca="false">IF(OR(J70="",K70="",J70=0),"",1-K70/J70)</f>
        <v/>
      </c>
      <c r="S70" s="45" t="str">
        <f aca="false">IF(OR(I70="",M70=""),"",M70-I70)</f>
        <v/>
      </c>
      <c r="T70" s="24" t="str">
        <f aca="false">IF(OR(J70="",O70="",J70=0),"",O70/J70)</f>
        <v/>
      </c>
      <c r="U70" s="46" t="str">
        <f aca="false">IF(OR(J70="",G70="",G70=0),"",J70/G70)</f>
        <v/>
      </c>
      <c r="V70" s="46" t="str">
        <f aca="false">IF(OR(O70="",G70="",G70=0),"",O70/G70)</f>
        <v/>
      </c>
    </row>
    <row r="71" customFormat="false" ht="15" hidden="false" customHeight="false" outlineLevel="0" collapsed="false">
      <c r="A71" s="30"/>
      <c r="B71" s="30"/>
      <c r="C71" s="30"/>
      <c r="D71" s="30"/>
      <c r="E71" s="27"/>
      <c r="F71" s="47"/>
      <c r="G71" s="27"/>
      <c r="H71" s="30"/>
      <c r="I71" s="43"/>
      <c r="J71" s="41"/>
      <c r="K71" s="41"/>
      <c r="L71" s="30"/>
      <c r="M71" s="43"/>
      <c r="N71" s="43"/>
      <c r="O71" s="41"/>
      <c r="P71" s="43"/>
      <c r="Q71" s="30"/>
      <c r="R71" s="24" t="str">
        <f aca="false">IF(OR(J71="",K71="",J71=0),"",1-K71/J71)</f>
        <v/>
      </c>
      <c r="S71" s="45" t="str">
        <f aca="false">IF(OR(I71="",M71=""),"",M71-I71)</f>
        <v/>
      </c>
      <c r="T71" s="24" t="str">
        <f aca="false">IF(OR(J71="",O71="",J71=0),"",O71/J71)</f>
        <v/>
      </c>
      <c r="U71" s="46" t="str">
        <f aca="false">IF(OR(J71="",G71="",G71=0),"",J71/G71)</f>
        <v/>
      </c>
      <c r="V71" s="46" t="str">
        <f aca="false">IF(OR(O71="",G71="",G71=0),"",O71/G71)</f>
        <v/>
      </c>
    </row>
    <row r="72" customFormat="false" ht="15" hidden="false" customHeight="false" outlineLevel="0" collapsed="false">
      <c r="A72" s="30"/>
      <c r="B72" s="30"/>
      <c r="C72" s="30"/>
      <c r="D72" s="30"/>
      <c r="E72" s="27"/>
      <c r="F72" s="47"/>
      <c r="G72" s="27"/>
      <c r="H72" s="30"/>
      <c r="I72" s="43"/>
      <c r="J72" s="41"/>
      <c r="K72" s="41"/>
      <c r="L72" s="30"/>
      <c r="M72" s="43"/>
      <c r="N72" s="43"/>
      <c r="O72" s="41"/>
      <c r="P72" s="43"/>
      <c r="Q72" s="30"/>
      <c r="R72" s="24" t="str">
        <f aca="false">IF(OR(J72="",K72="",J72=0),"",1-K72/J72)</f>
        <v/>
      </c>
      <c r="S72" s="45" t="str">
        <f aca="false">IF(OR(I72="",M72=""),"",M72-I72)</f>
        <v/>
      </c>
      <c r="T72" s="24" t="str">
        <f aca="false">IF(OR(J72="",O72="",J72=0),"",O72/J72)</f>
        <v/>
      </c>
      <c r="U72" s="46" t="str">
        <f aca="false">IF(OR(J72="",G72="",G72=0),"",J72/G72)</f>
        <v/>
      </c>
      <c r="V72" s="46" t="str">
        <f aca="false">IF(OR(O72="",G72="",G72=0),"",O72/G72)</f>
        <v/>
      </c>
    </row>
    <row r="73" customFormat="false" ht="15" hidden="false" customHeight="false" outlineLevel="0" collapsed="false">
      <c r="A73" s="30"/>
      <c r="B73" s="30"/>
      <c r="C73" s="30"/>
      <c r="D73" s="30"/>
      <c r="E73" s="27"/>
      <c r="F73" s="47"/>
      <c r="G73" s="27"/>
      <c r="H73" s="30"/>
      <c r="I73" s="43"/>
      <c r="J73" s="41"/>
      <c r="K73" s="41"/>
      <c r="L73" s="30"/>
      <c r="M73" s="43"/>
      <c r="N73" s="43"/>
      <c r="O73" s="41"/>
      <c r="P73" s="43"/>
      <c r="Q73" s="30"/>
      <c r="R73" s="24" t="str">
        <f aca="false">IF(OR(J73="",K73="",J73=0),"",1-K73/J73)</f>
        <v/>
      </c>
      <c r="S73" s="45" t="str">
        <f aca="false">IF(OR(I73="",M73=""),"",M73-I73)</f>
        <v/>
      </c>
      <c r="T73" s="24" t="str">
        <f aca="false">IF(OR(J73="",O73="",J73=0),"",O73/J73)</f>
        <v/>
      </c>
      <c r="U73" s="46" t="str">
        <f aca="false">IF(OR(J73="",G73="",G73=0),"",J73/G73)</f>
        <v/>
      </c>
      <c r="V73" s="46" t="str">
        <f aca="false">IF(OR(O73="",G73="",G73=0),"",O73/G73)</f>
        <v/>
      </c>
    </row>
    <row r="74" customFormat="false" ht="15" hidden="false" customHeight="false" outlineLevel="0" collapsed="false">
      <c r="A74" s="30"/>
      <c r="B74" s="30"/>
      <c r="C74" s="30"/>
      <c r="D74" s="30"/>
      <c r="E74" s="27"/>
      <c r="F74" s="47"/>
      <c r="G74" s="27"/>
      <c r="H74" s="30"/>
      <c r="I74" s="43"/>
      <c r="J74" s="41"/>
      <c r="K74" s="41"/>
      <c r="L74" s="30"/>
      <c r="M74" s="43"/>
      <c r="N74" s="43"/>
      <c r="O74" s="41"/>
      <c r="P74" s="43"/>
      <c r="Q74" s="30"/>
      <c r="R74" s="24" t="str">
        <f aca="false">IF(OR(J74="",K74="",J74=0),"",1-K74/J74)</f>
        <v/>
      </c>
      <c r="S74" s="45" t="str">
        <f aca="false">IF(OR(I74="",M74=""),"",M74-I74)</f>
        <v/>
      </c>
      <c r="T74" s="24" t="str">
        <f aca="false">IF(OR(J74="",O74="",J74=0),"",O74/J74)</f>
        <v/>
      </c>
      <c r="U74" s="46" t="str">
        <f aca="false">IF(OR(J74="",G74="",G74=0),"",J74/G74)</f>
        <v/>
      </c>
      <c r="V74" s="46" t="str">
        <f aca="false">IF(OR(O74="",G74="",G74=0),"",O74/G74)</f>
        <v/>
      </c>
    </row>
    <row r="75" customFormat="false" ht="15" hidden="false" customHeight="false" outlineLevel="0" collapsed="false">
      <c r="A75" s="30"/>
      <c r="B75" s="30"/>
      <c r="C75" s="30"/>
      <c r="D75" s="30"/>
      <c r="E75" s="27"/>
      <c r="F75" s="47"/>
      <c r="G75" s="27"/>
      <c r="H75" s="30"/>
      <c r="I75" s="43"/>
      <c r="J75" s="41"/>
      <c r="K75" s="41"/>
      <c r="L75" s="30"/>
      <c r="M75" s="43"/>
      <c r="N75" s="43"/>
      <c r="O75" s="41"/>
      <c r="P75" s="43"/>
      <c r="Q75" s="30"/>
      <c r="R75" s="24" t="str">
        <f aca="false">IF(OR(J75="",K75="",J75=0),"",1-K75/J75)</f>
        <v/>
      </c>
      <c r="S75" s="45" t="str">
        <f aca="false">IF(OR(I75="",M75=""),"",M75-I75)</f>
        <v/>
      </c>
      <c r="T75" s="24" t="str">
        <f aca="false">IF(OR(J75="",O75="",J75=0),"",O75/J75)</f>
        <v/>
      </c>
      <c r="U75" s="46" t="str">
        <f aca="false">IF(OR(J75="",G75="",G75=0),"",J75/G75)</f>
        <v/>
      </c>
      <c r="V75" s="46" t="str">
        <f aca="false">IF(OR(O75="",G75="",G75=0),"",O75/G75)</f>
        <v/>
      </c>
    </row>
    <row r="76" customFormat="false" ht="15" hidden="false" customHeight="false" outlineLevel="0" collapsed="false">
      <c r="A76" s="30"/>
      <c r="B76" s="30"/>
      <c r="C76" s="30"/>
      <c r="D76" s="30"/>
      <c r="E76" s="27"/>
      <c r="F76" s="47"/>
      <c r="G76" s="27"/>
      <c r="H76" s="30"/>
      <c r="I76" s="43"/>
      <c r="J76" s="41"/>
      <c r="K76" s="41"/>
      <c r="L76" s="30"/>
      <c r="M76" s="43"/>
      <c r="N76" s="43"/>
      <c r="O76" s="41"/>
      <c r="P76" s="43"/>
      <c r="Q76" s="30"/>
      <c r="R76" s="24" t="str">
        <f aca="false">IF(OR(J76="",K76="",J76=0),"",1-K76/J76)</f>
        <v/>
      </c>
      <c r="S76" s="45" t="str">
        <f aca="false">IF(OR(I76="",M76=""),"",M76-I76)</f>
        <v/>
      </c>
      <c r="T76" s="24" t="str">
        <f aca="false">IF(OR(J76="",O76="",J76=0),"",O76/J76)</f>
        <v/>
      </c>
      <c r="U76" s="46" t="str">
        <f aca="false">IF(OR(J76="",G76="",G76=0),"",J76/G76)</f>
        <v/>
      </c>
      <c r="V76" s="46" t="str">
        <f aca="false">IF(OR(O76="",G76="",G76=0),"",O76/G76)</f>
        <v/>
      </c>
    </row>
    <row r="77" customFormat="false" ht="15" hidden="false" customHeight="false" outlineLevel="0" collapsed="false">
      <c r="A77" s="30"/>
      <c r="B77" s="30"/>
      <c r="C77" s="30"/>
      <c r="D77" s="30"/>
      <c r="E77" s="27"/>
      <c r="F77" s="47"/>
      <c r="G77" s="27"/>
      <c r="H77" s="30"/>
      <c r="I77" s="43"/>
      <c r="J77" s="41"/>
      <c r="K77" s="41"/>
      <c r="L77" s="30"/>
      <c r="M77" s="43"/>
      <c r="N77" s="43"/>
      <c r="O77" s="41"/>
      <c r="P77" s="43"/>
      <c r="Q77" s="30"/>
      <c r="R77" s="24" t="str">
        <f aca="false">IF(OR(J77="",K77="",J77=0),"",1-K77/J77)</f>
        <v/>
      </c>
      <c r="S77" s="45" t="str">
        <f aca="false">IF(OR(I77="",M77=""),"",M77-I77)</f>
        <v/>
      </c>
      <c r="T77" s="24" t="str">
        <f aca="false">IF(OR(J77="",O77="",J77=0),"",O77/J77)</f>
        <v/>
      </c>
      <c r="U77" s="46" t="str">
        <f aca="false">IF(OR(J77="",G77="",G77=0),"",J77/G77)</f>
        <v/>
      </c>
      <c r="V77" s="46" t="str">
        <f aca="false">IF(OR(O77="",G77="",G77=0),"",O77/G77)</f>
        <v/>
      </c>
    </row>
    <row r="78" customFormat="false" ht="15" hidden="false" customHeight="false" outlineLevel="0" collapsed="false">
      <c r="A78" s="30"/>
      <c r="B78" s="30"/>
      <c r="C78" s="30"/>
      <c r="D78" s="30"/>
      <c r="E78" s="27"/>
      <c r="F78" s="47"/>
      <c r="G78" s="27"/>
      <c r="H78" s="30"/>
      <c r="I78" s="43"/>
      <c r="J78" s="41"/>
      <c r="K78" s="41"/>
      <c r="L78" s="30"/>
      <c r="M78" s="43"/>
      <c r="N78" s="43"/>
      <c r="O78" s="41"/>
      <c r="P78" s="43"/>
      <c r="Q78" s="30"/>
      <c r="R78" s="24" t="str">
        <f aca="false">IF(OR(J78="",K78="",J78=0),"",1-K78/J78)</f>
        <v/>
      </c>
      <c r="S78" s="45" t="str">
        <f aca="false">IF(OR(I78="",M78=""),"",M78-I78)</f>
        <v/>
      </c>
      <c r="T78" s="24" t="str">
        <f aca="false">IF(OR(J78="",O78="",J78=0),"",O78/J78)</f>
        <v/>
      </c>
      <c r="U78" s="46" t="str">
        <f aca="false">IF(OR(J78="",G78="",G78=0),"",J78/G78)</f>
        <v/>
      </c>
      <c r="V78" s="46" t="str">
        <f aca="false">IF(OR(O78="",G78="",G78=0),"",O78/G78)</f>
        <v/>
      </c>
    </row>
    <row r="79" customFormat="false" ht="15" hidden="false" customHeight="false" outlineLevel="0" collapsed="false">
      <c r="A79" s="30"/>
      <c r="B79" s="30"/>
      <c r="C79" s="30"/>
      <c r="D79" s="30"/>
      <c r="E79" s="27"/>
      <c r="F79" s="47"/>
      <c r="G79" s="27"/>
      <c r="H79" s="30"/>
      <c r="I79" s="43"/>
      <c r="J79" s="41"/>
      <c r="K79" s="41"/>
      <c r="L79" s="30"/>
      <c r="M79" s="43"/>
      <c r="N79" s="43"/>
      <c r="O79" s="41"/>
      <c r="P79" s="43"/>
      <c r="Q79" s="30"/>
      <c r="R79" s="24" t="str">
        <f aca="false">IF(OR(J79="",K79="",J79=0),"",1-K79/J79)</f>
        <v/>
      </c>
      <c r="S79" s="45" t="str">
        <f aca="false">IF(OR(I79="",M79=""),"",M79-I79)</f>
        <v/>
      </c>
      <c r="T79" s="24" t="str">
        <f aca="false">IF(OR(J79="",O79="",J79=0),"",O79/J79)</f>
        <v/>
      </c>
      <c r="U79" s="46" t="str">
        <f aca="false">IF(OR(J79="",G79="",G79=0),"",J79/G79)</f>
        <v/>
      </c>
      <c r="V79" s="46" t="str">
        <f aca="false">IF(OR(O79="",G79="",G79=0),"",O79/G79)</f>
        <v/>
      </c>
    </row>
    <row r="80" customFormat="false" ht="15" hidden="false" customHeight="false" outlineLevel="0" collapsed="false">
      <c r="A80" s="30"/>
      <c r="B80" s="30"/>
      <c r="C80" s="30"/>
      <c r="D80" s="30"/>
      <c r="E80" s="27"/>
      <c r="F80" s="47"/>
      <c r="G80" s="27"/>
      <c r="H80" s="30"/>
      <c r="I80" s="43"/>
      <c r="J80" s="41"/>
      <c r="K80" s="41"/>
      <c r="L80" s="30"/>
      <c r="M80" s="43"/>
      <c r="N80" s="43"/>
      <c r="O80" s="41"/>
      <c r="P80" s="43"/>
      <c r="Q80" s="30"/>
      <c r="R80" s="24" t="str">
        <f aca="false">IF(OR(J80="",K80="",J80=0),"",1-K80/J80)</f>
        <v/>
      </c>
      <c r="S80" s="45" t="str">
        <f aca="false">IF(OR(I80="",M80=""),"",M80-I80)</f>
        <v/>
      </c>
      <c r="T80" s="24" t="str">
        <f aca="false">IF(OR(J80="",O80="",J80=0),"",O80/J80)</f>
        <v/>
      </c>
      <c r="U80" s="46" t="str">
        <f aca="false">IF(OR(J80="",G80="",G80=0),"",J80/G80)</f>
        <v/>
      </c>
      <c r="V80" s="46" t="str">
        <f aca="false">IF(OR(O80="",G80="",G80=0),"",O80/G80)</f>
        <v/>
      </c>
    </row>
    <row r="81" customFormat="false" ht="15" hidden="false" customHeight="false" outlineLevel="0" collapsed="false">
      <c r="A81" s="30"/>
      <c r="B81" s="30"/>
      <c r="C81" s="30"/>
      <c r="D81" s="30"/>
      <c r="E81" s="27"/>
      <c r="F81" s="47"/>
      <c r="G81" s="27"/>
      <c r="H81" s="30"/>
      <c r="I81" s="43"/>
      <c r="J81" s="41"/>
      <c r="K81" s="41"/>
      <c r="L81" s="30"/>
      <c r="M81" s="43"/>
      <c r="N81" s="43"/>
      <c r="O81" s="41"/>
      <c r="P81" s="43"/>
      <c r="Q81" s="30"/>
      <c r="R81" s="24" t="str">
        <f aca="false">IF(OR(J81="",K81="",J81=0),"",1-K81/J81)</f>
        <v/>
      </c>
      <c r="S81" s="45" t="str">
        <f aca="false">IF(OR(I81="",M81=""),"",M81-I81)</f>
        <v/>
      </c>
      <c r="T81" s="24" t="str">
        <f aca="false">IF(OR(J81="",O81="",J81=0),"",O81/J81)</f>
        <v/>
      </c>
      <c r="U81" s="46" t="str">
        <f aca="false">IF(OR(J81="",G81="",G81=0),"",J81/G81)</f>
        <v/>
      </c>
      <c r="V81" s="46" t="str">
        <f aca="false">IF(OR(O81="",G81="",G81=0),"",O81/G81)</f>
        <v/>
      </c>
    </row>
    <row r="82" customFormat="false" ht="15" hidden="false" customHeight="false" outlineLevel="0" collapsed="false">
      <c r="A82" s="30"/>
      <c r="B82" s="30"/>
      <c r="C82" s="30"/>
      <c r="D82" s="30"/>
      <c r="E82" s="27"/>
      <c r="F82" s="47"/>
      <c r="G82" s="27"/>
      <c r="H82" s="30"/>
      <c r="I82" s="43"/>
      <c r="J82" s="41"/>
      <c r="K82" s="41"/>
      <c r="L82" s="30"/>
      <c r="M82" s="43"/>
      <c r="N82" s="43"/>
      <c r="O82" s="41"/>
      <c r="P82" s="43"/>
      <c r="Q82" s="30"/>
      <c r="R82" s="24" t="str">
        <f aca="false">IF(OR(J82="",K82="",J82=0),"",1-K82/J82)</f>
        <v/>
      </c>
      <c r="S82" s="45" t="str">
        <f aca="false">IF(OR(I82="",M82=""),"",M82-I82)</f>
        <v/>
      </c>
      <c r="T82" s="24" t="str">
        <f aca="false">IF(OR(J82="",O82="",J82=0),"",O82/J82)</f>
        <v/>
      </c>
      <c r="U82" s="46" t="str">
        <f aca="false">IF(OR(J82="",G82="",G82=0),"",J82/G82)</f>
        <v/>
      </c>
      <c r="V82" s="46" t="str">
        <f aca="false">IF(OR(O82="",G82="",G82=0),"",O82/G82)</f>
        <v/>
      </c>
    </row>
    <row r="83" customFormat="false" ht="15" hidden="false" customHeight="false" outlineLevel="0" collapsed="false">
      <c r="A83" s="30"/>
      <c r="B83" s="30"/>
      <c r="C83" s="30"/>
      <c r="D83" s="30"/>
      <c r="E83" s="27"/>
      <c r="F83" s="47"/>
      <c r="G83" s="27"/>
      <c r="H83" s="30"/>
      <c r="I83" s="43"/>
      <c r="J83" s="41"/>
      <c r="K83" s="41"/>
      <c r="L83" s="30"/>
      <c r="M83" s="43"/>
      <c r="N83" s="43"/>
      <c r="O83" s="41"/>
      <c r="P83" s="43"/>
      <c r="Q83" s="30"/>
      <c r="R83" s="24" t="str">
        <f aca="false">IF(OR(J83="",K83="",J83=0),"",1-K83/J83)</f>
        <v/>
      </c>
      <c r="S83" s="45" t="str">
        <f aca="false">IF(OR(I83="",M83=""),"",M83-I83)</f>
        <v/>
      </c>
      <c r="T83" s="24" t="str">
        <f aca="false">IF(OR(J83="",O83="",J83=0),"",O83/J83)</f>
        <v/>
      </c>
      <c r="U83" s="46" t="str">
        <f aca="false">IF(OR(J83="",G83="",G83=0),"",J83/G83)</f>
        <v/>
      </c>
      <c r="V83" s="46" t="str">
        <f aca="false">IF(OR(O83="",G83="",G83=0),"",O83/G83)</f>
        <v/>
      </c>
    </row>
    <row r="84" customFormat="false" ht="15" hidden="false" customHeight="false" outlineLevel="0" collapsed="false">
      <c r="A84" s="30"/>
      <c r="B84" s="30"/>
      <c r="C84" s="30"/>
      <c r="D84" s="30"/>
      <c r="E84" s="27"/>
      <c r="F84" s="47"/>
      <c r="G84" s="27"/>
      <c r="H84" s="30"/>
      <c r="I84" s="43"/>
      <c r="J84" s="41"/>
      <c r="K84" s="41"/>
      <c r="L84" s="30"/>
      <c r="M84" s="43"/>
      <c r="N84" s="43"/>
      <c r="O84" s="41"/>
      <c r="P84" s="43"/>
      <c r="Q84" s="30"/>
      <c r="R84" s="24" t="str">
        <f aca="false">IF(OR(J84="",K84="",J84=0),"",1-K84/J84)</f>
        <v/>
      </c>
      <c r="S84" s="45" t="str">
        <f aca="false">IF(OR(I84="",M84=""),"",M84-I84)</f>
        <v/>
      </c>
      <c r="T84" s="24" t="str">
        <f aca="false">IF(OR(J84="",O84="",J84=0),"",O84/J84)</f>
        <v/>
      </c>
      <c r="U84" s="46" t="str">
        <f aca="false">IF(OR(J84="",G84="",G84=0),"",J84/G84)</f>
        <v/>
      </c>
      <c r="V84" s="46" t="str">
        <f aca="false">IF(OR(O84="",G84="",G84=0),"",O84/G84)</f>
        <v/>
      </c>
    </row>
    <row r="85" customFormat="false" ht="15" hidden="false" customHeight="false" outlineLevel="0" collapsed="false">
      <c r="A85" s="30"/>
      <c r="B85" s="30"/>
      <c r="C85" s="30"/>
      <c r="D85" s="30"/>
      <c r="E85" s="27"/>
      <c r="F85" s="47"/>
      <c r="G85" s="27"/>
      <c r="H85" s="30"/>
      <c r="I85" s="43"/>
      <c r="J85" s="41"/>
      <c r="K85" s="41"/>
      <c r="L85" s="30"/>
      <c r="M85" s="43"/>
      <c r="N85" s="43"/>
      <c r="O85" s="41"/>
      <c r="P85" s="43"/>
      <c r="Q85" s="30"/>
      <c r="R85" s="24" t="str">
        <f aca="false">IF(OR(J85="",K85="",J85=0),"",1-K85/J85)</f>
        <v/>
      </c>
      <c r="S85" s="45" t="str">
        <f aca="false">IF(OR(I85="",M85=""),"",M85-I85)</f>
        <v/>
      </c>
      <c r="T85" s="24" t="str">
        <f aca="false">IF(OR(J85="",O85="",J85=0),"",O85/J85)</f>
        <v/>
      </c>
      <c r="U85" s="46" t="str">
        <f aca="false">IF(OR(J85="",G85="",G85=0),"",J85/G85)</f>
        <v/>
      </c>
      <c r="V85" s="46" t="str">
        <f aca="false">IF(OR(O85="",G85="",G85=0),"",O85/G85)</f>
        <v/>
      </c>
    </row>
    <row r="86" customFormat="false" ht="15" hidden="false" customHeight="false" outlineLevel="0" collapsed="false">
      <c r="A86" s="30"/>
      <c r="B86" s="30"/>
      <c r="C86" s="30"/>
      <c r="D86" s="30"/>
      <c r="E86" s="27"/>
      <c r="F86" s="47"/>
      <c r="G86" s="27"/>
      <c r="H86" s="30"/>
      <c r="I86" s="43"/>
      <c r="J86" s="41"/>
      <c r="K86" s="41"/>
      <c r="L86" s="30"/>
      <c r="M86" s="43"/>
      <c r="N86" s="43"/>
      <c r="O86" s="41"/>
      <c r="P86" s="43"/>
      <c r="Q86" s="30"/>
      <c r="R86" s="24" t="str">
        <f aca="false">IF(OR(J86="",K86="",J86=0),"",1-K86/J86)</f>
        <v/>
      </c>
      <c r="S86" s="45" t="str">
        <f aca="false">IF(OR(I86="",M86=""),"",M86-I86)</f>
        <v/>
      </c>
      <c r="T86" s="24" t="str">
        <f aca="false">IF(OR(J86="",O86="",J86=0),"",O86/J86)</f>
        <v/>
      </c>
      <c r="U86" s="46" t="str">
        <f aca="false">IF(OR(J86="",G86="",G86=0),"",J86/G86)</f>
        <v/>
      </c>
      <c r="V86" s="46" t="str">
        <f aca="false">IF(OR(O86="",G86="",G86=0),"",O86/G86)</f>
        <v/>
      </c>
    </row>
    <row r="87" customFormat="false" ht="15" hidden="false" customHeight="false" outlineLevel="0" collapsed="false">
      <c r="A87" s="30"/>
      <c r="B87" s="30"/>
      <c r="C87" s="30"/>
      <c r="D87" s="30"/>
      <c r="E87" s="27"/>
      <c r="F87" s="47"/>
      <c r="G87" s="27"/>
      <c r="H87" s="30"/>
      <c r="I87" s="43"/>
      <c r="J87" s="41"/>
      <c r="K87" s="41"/>
      <c r="L87" s="30"/>
      <c r="M87" s="43"/>
      <c r="N87" s="43"/>
      <c r="O87" s="41"/>
      <c r="P87" s="43"/>
      <c r="Q87" s="30"/>
      <c r="R87" s="24" t="str">
        <f aca="false">IF(OR(J87="",K87="",J87=0),"",1-K87/J87)</f>
        <v/>
      </c>
      <c r="S87" s="45" t="str">
        <f aca="false">IF(OR(I87="",M87=""),"",M87-I87)</f>
        <v/>
      </c>
      <c r="T87" s="24" t="str">
        <f aca="false">IF(OR(J87="",O87="",J87=0),"",O87/J87)</f>
        <v/>
      </c>
      <c r="U87" s="46" t="str">
        <f aca="false">IF(OR(J87="",G87="",G87=0),"",J87/G87)</f>
        <v/>
      </c>
      <c r="V87" s="46" t="str">
        <f aca="false">IF(OR(O87="",G87="",G87=0),"",O87/G87)</f>
        <v/>
      </c>
    </row>
    <row r="88" customFormat="false" ht="15" hidden="false" customHeight="false" outlineLevel="0" collapsed="false">
      <c r="A88" s="30"/>
      <c r="B88" s="30"/>
      <c r="C88" s="30"/>
      <c r="D88" s="30"/>
      <c r="E88" s="27"/>
      <c r="F88" s="47"/>
      <c r="G88" s="27"/>
      <c r="H88" s="30"/>
      <c r="I88" s="43"/>
      <c r="J88" s="41"/>
      <c r="K88" s="41"/>
      <c r="L88" s="30"/>
      <c r="M88" s="43"/>
      <c r="N88" s="43"/>
      <c r="O88" s="41"/>
      <c r="P88" s="43"/>
      <c r="Q88" s="30"/>
      <c r="R88" s="24" t="str">
        <f aca="false">IF(OR(J88="",K88="",J88=0),"",1-K88/J88)</f>
        <v/>
      </c>
      <c r="S88" s="45" t="str">
        <f aca="false">IF(OR(I88="",M88=""),"",M88-I88)</f>
        <v/>
      </c>
      <c r="T88" s="24" t="str">
        <f aca="false">IF(OR(J88="",O88="",J88=0),"",O88/J88)</f>
        <v/>
      </c>
      <c r="U88" s="46" t="str">
        <f aca="false">IF(OR(J88="",G88="",G88=0),"",J88/G88)</f>
        <v/>
      </c>
      <c r="V88" s="46" t="str">
        <f aca="false">IF(OR(O88="",G88="",G88=0),"",O88/G88)</f>
        <v/>
      </c>
    </row>
    <row r="89" customFormat="false" ht="15" hidden="false" customHeight="false" outlineLevel="0" collapsed="false">
      <c r="A89" s="30"/>
      <c r="B89" s="30"/>
      <c r="C89" s="30"/>
      <c r="D89" s="30"/>
      <c r="E89" s="27"/>
      <c r="F89" s="47"/>
      <c r="G89" s="27"/>
      <c r="H89" s="30"/>
      <c r="I89" s="43"/>
      <c r="J89" s="41"/>
      <c r="K89" s="41"/>
      <c r="L89" s="30"/>
      <c r="M89" s="43"/>
      <c r="N89" s="43"/>
      <c r="O89" s="41"/>
      <c r="P89" s="43"/>
      <c r="Q89" s="30"/>
      <c r="R89" s="24" t="str">
        <f aca="false">IF(OR(J89="",K89="",J89=0),"",1-K89/J89)</f>
        <v/>
      </c>
      <c r="S89" s="45" t="str">
        <f aca="false">IF(OR(I89="",M89=""),"",M89-I89)</f>
        <v/>
      </c>
      <c r="T89" s="24" t="str">
        <f aca="false">IF(OR(J89="",O89="",J89=0),"",O89/J89)</f>
        <v/>
      </c>
      <c r="U89" s="46" t="str">
        <f aca="false">IF(OR(J89="",G89="",G89=0),"",J89/G89)</f>
        <v/>
      </c>
      <c r="V89" s="46" t="str">
        <f aca="false">IF(OR(O89="",G89="",G89=0),"",O89/G89)</f>
        <v/>
      </c>
    </row>
    <row r="90" customFormat="false" ht="15" hidden="false" customHeight="false" outlineLevel="0" collapsed="false">
      <c r="A90" s="30"/>
      <c r="B90" s="30"/>
      <c r="C90" s="30"/>
      <c r="D90" s="30"/>
      <c r="E90" s="27"/>
      <c r="F90" s="47"/>
      <c r="G90" s="27"/>
      <c r="H90" s="30"/>
      <c r="I90" s="43"/>
      <c r="J90" s="41"/>
      <c r="K90" s="41"/>
      <c r="L90" s="30"/>
      <c r="M90" s="43"/>
      <c r="N90" s="43"/>
      <c r="O90" s="41"/>
      <c r="P90" s="43"/>
      <c r="Q90" s="30"/>
      <c r="R90" s="24" t="str">
        <f aca="false">IF(OR(J90="",K90="",J90=0),"",1-K90/J90)</f>
        <v/>
      </c>
      <c r="S90" s="45" t="str">
        <f aca="false">IF(OR(I90="",M90=""),"",M90-I90)</f>
        <v/>
      </c>
      <c r="T90" s="24" t="str">
        <f aca="false">IF(OR(J90="",O90="",J90=0),"",O90/J90)</f>
        <v/>
      </c>
      <c r="U90" s="46" t="str">
        <f aca="false">IF(OR(J90="",G90="",G90=0),"",J90/G90)</f>
        <v/>
      </c>
      <c r="V90" s="46" t="str">
        <f aca="false">IF(OR(O90="",G90="",G90=0),"",O90/G90)</f>
        <v/>
      </c>
    </row>
    <row r="91" customFormat="false" ht="15" hidden="false" customHeight="false" outlineLevel="0" collapsed="false">
      <c r="A91" s="30"/>
      <c r="B91" s="30"/>
      <c r="C91" s="30"/>
      <c r="D91" s="30"/>
      <c r="E91" s="27"/>
      <c r="F91" s="47"/>
      <c r="G91" s="27"/>
      <c r="H91" s="30"/>
      <c r="I91" s="43"/>
      <c r="J91" s="41"/>
      <c r="K91" s="41"/>
      <c r="L91" s="30"/>
      <c r="M91" s="43"/>
      <c r="N91" s="43"/>
      <c r="O91" s="41"/>
      <c r="P91" s="43"/>
      <c r="Q91" s="30"/>
      <c r="R91" s="24" t="str">
        <f aca="false">IF(OR(J91="",K91="",J91=0),"",1-K91/J91)</f>
        <v/>
      </c>
      <c r="S91" s="45" t="str">
        <f aca="false">IF(OR(I91="",M91=""),"",M91-I91)</f>
        <v/>
      </c>
      <c r="T91" s="24" t="str">
        <f aca="false">IF(OR(J91="",O91="",J91=0),"",O91/J91)</f>
        <v/>
      </c>
      <c r="U91" s="46" t="str">
        <f aca="false">IF(OR(J91="",G91="",G91=0),"",J91/G91)</f>
        <v/>
      </c>
      <c r="V91" s="46" t="str">
        <f aca="false">IF(OR(O91="",G91="",G91=0),"",O91/G91)</f>
        <v/>
      </c>
    </row>
    <row r="92" customFormat="false" ht="15" hidden="false" customHeight="false" outlineLevel="0" collapsed="false">
      <c r="A92" s="30"/>
      <c r="B92" s="30"/>
      <c r="C92" s="30"/>
      <c r="D92" s="30"/>
      <c r="E92" s="27"/>
      <c r="F92" s="47"/>
      <c r="G92" s="27"/>
      <c r="H92" s="30"/>
      <c r="I92" s="43"/>
      <c r="J92" s="41"/>
      <c r="K92" s="41"/>
      <c r="L92" s="30"/>
      <c r="M92" s="43"/>
      <c r="N92" s="43"/>
      <c r="O92" s="41"/>
      <c r="P92" s="43"/>
      <c r="Q92" s="30"/>
      <c r="R92" s="24" t="str">
        <f aca="false">IF(OR(J92="",K92="",J92=0),"",1-K92/J92)</f>
        <v/>
      </c>
      <c r="S92" s="45" t="str">
        <f aca="false">IF(OR(I92="",M92=""),"",M92-I92)</f>
        <v/>
      </c>
      <c r="T92" s="24" t="str">
        <f aca="false">IF(OR(J92="",O92="",J92=0),"",O92/J92)</f>
        <v/>
      </c>
      <c r="U92" s="46" t="str">
        <f aca="false">IF(OR(J92="",G92="",G92=0),"",J92/G92)</f>
        <v/>
      </c>
      <c r="V92" s="46" t="str">
        <f aca="false">IF(OR(O92="",G92="",G92=0),"",O92/G92)</f>
        <v/>
      </c>
    </row>
    <row r="93" customFormat="false" ht="15" hidden="false" customHeight="false" outlineLevel="0" collapsed="false">
      <c r="A93" s="30"/>
      <c r="B93" s="30"/>
      <c r="C93" s="30"/>
      <c r="D93" s="30"/>
      <c r="E93" s="27"/>
      <c r="F93" s="47"/>
      <c r="G93" s="27"/>
      <c r="H93" s="30"/>
      <c r="I93" s="43"/>
      <c r="J93" s="41"/>
      <c r="K93" s="41"/>
      <c r="L93" s="30"/>
      <c r="M93" s="43"/>
      <c r="N93" s="43"/>
      <c r="O93" s="41"/>
      <c r="P93" s="43"/>
      <c r="Q93" s="30"/>
      <c r="R93" s="24" t="str">
        <f aca="false">IF(OR(J93="",K93="",J93=0),"",1-K93/J93)</f>
        <v/>
      </c>
      <c r="S93" s="45" t="str">
        <f aca="false">IF(OR(I93="",M93=""),"",M93-I93)</f>
        <v/>
      </c>
      <c r="T93" s="24" t="str">
        <f aca="false">IF(OR(J93="",O93="",J93=0),"",O93/J93)</f>
        <v/>
      </c>
      <c r="U93" s="46" t="str">
        <f aca="false">IF(OR(J93="",G93="",G93=0),"",J93/G93)</f>
        <v/>
      </c>
      <c r="V93" s="46" t="str">
        <f aca="false">IF(OR(O93="",G93="",G93=0),"",O93/G93)</f>
        <v/>
      </c>
    </row>
    <row r="94" customFormat="false" ht="15" hidden="false" customHeight="false" outlineLevel="0" collapsed="false">
      <c r="A94" s="30"/>
      <c r="B94" s="30"/>
      <c r="C94" s="30"/>
      <c r="D94" s="30"/>
      <c r="E94" s="27"/>
      <c r="F94" s="47"/>
      <c r="G94" s="27"/>
      <c r="H94" s="30"/>
      <c r="I94" s="43"/>
      <c r="J94" s="41"/>
      <c r="K94" s="41"/>
      <c r="L94" s="30"/>
      <c r="M94" s="43"/>
      <c r="N94" s="43"/>
      <c r="O94" s="41"/>
      <c r="P94" s="43"/>
      <c r="Q94" s="30"/>
      <c r="R94" s="24" t="str">
        <f aca="false">IF(OR(J94="",K94="",J94=0),"",1-K94/J94)</f>
        <v/>
      </c>
      <c r="S94" s="45" t="str">
        <f aca="false">IF(OR(I94="",M94=""),"",M94-I94)</f>
        <v/>
      </c>
      <c r="T94" s="24" t="str">
        <f aca="false">IF(OR(J94="",O94="",J94=0),"",O94/J94)</f>
        <v/>
      </c>
      <c r="U94" s="46" t="str">
        <f aca="false">IF(OR(J94="",G94="",G94=0),"",J94/G94)</f>
        <v/>
      </c>
      <c r="V94" s="46" t="str">
        <f aca="false">IF(OR(O94="",G94="",G94=0),"",O94/G94)</f>
        <v/>
      </c>
    </row>
    <row r="95" customFormat="false" ht="15" hidden="false" customHeight="false" outlineLevel="0" collapsed="false">
      <c r="A95" s="30"/>
      <c r="B95" s="30"/>
      <c r="C95" s="30"/>
      <c r="D95" s="30"/>
      <c r="E95" s="27"/>
      <c r="F95" s="47"/>
      <c r="G95" s="27"/>
      <c r="H95" s="30"/>
      <c r="I95" s="43"/>
      <c r="J95" s="41"/>
      <c r="K95" s="41"/>
      <c r="L95" s="30"/>
      <c r="M95" s="43"/>
      <c r="N95" s="43"/>
      <c r="O95" s="41"/>
      <c r="P95" s="43"/>
      <c r="Q95" s="30"/>
      <c r="R95" s="24" t="str">
        <f aca="false">IF(OR(J95="",K95="",J95=0),"",1-K95/J95)</f>
        <v/>
      </c>
      <c r="S95" s="45" t="str">
        <f aca="false">IF(OR(I95="",M95=""),"",M95-I95)</f>
        <v/>
      </c>
      <c r="T95" s="24" t="str">
        <f aca="false">IF(OR(J95="",O95="",J95=0),"",O95/J95)</f>
        <v/>
      </c>
      <c r="U95" s="46" t="str">
        <f aca="false">IF(OR(J95="",G95="",G95=0),"",J95/G95)</f>
        <v/>
      </c>
      <c r="V95" s="46" t="str">
        <f aca="false">IF(OR(O95="",G95="",G95=0),"",O95/G95)</f>
        <v/>
      </c>
    </row>
    <row r="96" customFormat="false" ht="15" hidden="false" customHeight="false" outlineLevel="0" collapsed="false">
      <c r="A96" s="30"/>
      <c r="B96" s="30"/>
      <c r="C96" s="30"/>
      <c r="D96" s="30"/>
      <c r="E96" s="27"/>
      <c r="F96" s="47"/>
      <c r="G96" s="27"/>
      <c r="H96" s="30"/>
      <c r="I96" s="43"/>
      <c r="J96" s="41"/>
      <c r="K96" s="41"/>
      <c r="L96" s="30"/>
      <c r="M96" s="43"/>
      <c r="N96" s="43"/>
      <c r="O96" s="41"/>
      <c r="P96" s="43"/>
      <c r="Q96" s="30"/>
      <c r="R96" s="24" t="str">
        <f aca="false">IF(OR(J96="",K96="",J96=0),"",1-K96/J96)</f>
        <v/>
      </c>
      <c r="S96" s="45" t="str">
        <f aca="false">IF(OR(I96="",M96=""),"",M96-I96)</f>
        <v/>
      </c>
      <c r="T96" s="24" t="str">
        <f aca="false">IF(OR(J96="",O96="",J96=0),"",O96/J96)</f>
        <v/>
      </c>
      <c r="U96" s="46" t="str">
        <f aca="false">IF(OR(J96="",G96="",G96=0),"",J96/G96)</f>
        <v/>
      </c>
      <c r="V96" s="46" t="str">
        <f aca="false">IF(OR(O96="",G96="",G96=0),"",O96/G96)</f>
        <v/>
      </c>
    </row>
    <row r="97" customFormat="false" ht="15" hidden="false" customHeight="false" outlineLevel="0" collapsed="false">
      <c r="A97" s="30"/>
      <c r="B97" s="30"/>
      <c r="C97" s="30"/>
      <c r="D97" s="30"/>
      <c r="E97" s="27"/>
      <c r="F97" s="47"/>
      <c r="G97" s="27"/>
      <c r="H97" s="30"/>
      <c r="I97" s="43"/>
      <c r="J97" s="41"/>
      <c r="K97" s="41"/>
      <c r="L97" s="30"/>
      <c r="M97" s="43"/>
      <c r="N97" s="43"/>
      <c r="O97" s="41"/>
      <c r="P97" s="43"/>
      <c r="Q97" s="30"/>
      <c r="R97" s="24" t="str">
        <f aca="false">IF(OR(J97="",K97="",J97=0),"",1-K97/J97)</f>
        <v/>
      </c>
      <c r="S97" s="45" t="str">
        <f aca="false">IF(OR(I97="",M97=""),"",M97-I97)</f>
        <v/>
      </c>
      <c r="T97" s="24" t="str">
        <f aca="false">IF(OR(J97="",O97="",J97=0),"",O97/J97)</f>
        <v/>
      </c>
      <c r="U97" s="46" t="str">
        <f aca="false">IF(OR(J97="",G97="",G97=0),"",J97/G97)</f>
        <v/>
      </c>
      <c r="V97" s="46" t="str">
        <f aca="false">IF(OR(O97="",G97="",G97=0),"",O97/G97)</f>
        <v/>
      </c>
    </row>
    <row r="98" customFormat="false" ht="15" hidden="false" customHeight="false" outlineLevel="0" collapsed="false">
      <c r="A98" s="30"/>
      <c r="B98" s="30"/>
      <c r="C98" s="30"/>
      <c r="D98" s="30"/>
      <c r="E98" s="27"/>
      <c r="F98" s="47"/>
      <c r="G98" s="27"/>
      <c r="H98" s="30"/>
      <c r="I98" s="43"/>
      <c r="J98" s="41"/>
      <c r="K98" s="41"/>
      <c r="L98" s="30"/>
      <c r="M98" s="43"/>
      <c r="N98" s="43"/>
      <c r="O98" s="41"/>
      <c r="P98" s="43"/>
      <c r="Q98" s="30"/>
      <c r="R98" s="24" t="str">
        <f aca="false">IF(OR(J98="",K98="",J98=0),"",1-K98/J98)</f>
        <v/>
      </c>
      <c r="S98" s="45" t="str">
        <f aca="false">IF(OR(I98="",M98=""),"",M98-I98)</f>
        <v/>
      </c>
      <c r="T98" s="24" t="str">
        <f aca="false">IF(OR(J98="",O98="",J98=0),"",O98/J98)</f>
        <v/>
      </c>
      <c r="U98" s="46" t="str">
        <f aca="false">IF(OR(J98="",G98="",G98=0),"",J98/G98)</f>
        <v/>
      </c>
      <c r="V98" s="46" t="str">
        <f aca="false">IF(OR(O98="",G98="",G98=0),"",O98/G98)</f>
        <v/>
      </c>
    </row>
    <row r="99" customFormat="false" ht="15" hidden="false" customHeight="false" outlineLevel="0" collapsed="false">
      <c r="A99" s="30"/>
      <c r="B99" s="30"/>
      <c r="C99" s="30"/>
      <c r="D99" s="30"/>
      <c r="E99" s="27"/>
      <c r="F99" s="47"/>
      <c r="G99" s="27"/>
      <c r="H99" s="30"/>
      <c r="I99" s="43"/>
      <c r="J99" s="41"/>
      <c r="K99" s="41"/>
      <c r="L99" s="30"/>
      <c r="M99" s="43"/>
      <c r="N99" s="43"/>
      <c r="O99" s="41"/>
      <c r="P99" s="43"/>
      <c r="Q99" s="30"/>
      <c r="R99" s="24" t="str">
        <f aca="false">IF(OR(J99="",K99="",J99=0),"",1-K99/J99)</f>
        <v/>
      </c>
      <c r="S99" s="45" t="str">
        <f aca="false">IF(OR(I99="",M99=""),"",M99-I99)</f>
        <v/>
      </c>
      <c r="T99" s="24" t="str">
        <f aca="false">IF(OR(J99="",O99="",J99=0),"",O99/J99)</f>
        <v/>
      </c>
      <c r="U99" s="46" t="str">
        <f aca="false">IF(OR(J99="",G99="",G99=0),"",J99/G99)</f>
        <v/>
      </c>
      <c r="V99" s="46" t="str">
        <f aca="false">IF(OR(O99="",G99="",G99=0),"",O99/G99)</f>
        <v/>
      </c>
    </row>
    <row r="100" customFormat="false" ht="15" hidden="false" customHeight="false" outlineLevel="0" collapsed="false">
      <c r="A100" s="30"/>
      <c r="B100" s="30"/>
      <c r="C100" s="30"/>
      <c r="D100" s="30"/>
      <c r="E100" s="27"/>
      <c r="F100" s="47"/>
      <c r="G100" s="27"/>
      <c r="H100" s="30"/>
      <c r="I100" s="43"/>
      <c r="J100" s="41"/>
      <c r="K100" s="41"/>
      <c r="L100" s="30"/>
      <c r="M100" s="43"/>
      <c r="N100" s="43"/>
      <c r="O100" s="41"/>
      <c r="P100" s="43"/>
      <c r="Q100" s="30"/>
      <c r="R100" s="24" t="str">
        <f aca="false">IF(OR(J100="",K100="",J100=0),"",1-K100/J100)</f>
        <v/>
      </c>
      <c r="S100" s="45" t="str">
        <f aca="false">IF(OR(I100="",M100=""),"",M100-I100)</f>
        <v/>
      </c>
      <c r="T100" s="24" t="str">
        <f aca="false">IF(OR(J100="",O100="",J100=0),"",O100/J100)</f>
        <v/>
      </c>
      <c r="U100" s="46" t="str">
        <f aca="false">IF(OR(J100="",G100="",G100=0),"",J100/G100)</f>
        <v/>
      </c>
      <c r="V100" s="46" t="str">
        <f aca="false">IF(OR(O100="",G100="",G100=0),"",O100/G100)</f>
        <v/>
      </c>
    </row>
    <row r="101" customFormat="false" ht="15" hidden="false" customHeight="false" outlineLevel="0" collapsed="false">
      <c r="A101" s="30"/>
      <c r="B101" s="30"/>
      <c r="C101" s="30"/>
      <c r="D101" s="30"/>
      <c r="E101" s="27"/>
      <c r="F101" s="47"/>
      <c r="G101" s="27"/>
      <c r="H101" s="30"/>
      <c r="I101" s="43"/>
      <c r="J101" s="41"/>
      <c r="K101" s="41"/>
      <c r="L101" s="30"/>
      <c r="M101" s="43"/>
      <c r="N101" s="43"/>
      <c r="O101" s="41"/>
      <c r="P101" s="43"/>
      <c r="Q101" s="30"/>
      <c r="R101" s="24" t="str">
        <f aca="false">IF(OR(J101="",K101="",J101=0),"",1-K101/J101)</f>
        <v/>
      </c>
      <c r="S101" s="45" t="str">
        <f aca="false">IF(OR(I101="",M101=""),"",M101-I101)</f>
        <v/>
      </c>
      <c r="T101" s="24" t="str">
        <f aca="false">IF(OR(J101="",O101="",J101=0),"",O101/J101)</f>
        <v/>
      </c>
      <c r="U101" s="46" t="str">
        <f aca="false">IF(OR(J101="",G101="",G101=0),"",J101/G101)</f>
        <v/>
      </c>
      <c r="V101" s="46" t="str">
        <f aca="false">IF(OR(O101="",G101="",G101=0),"",O101/G101)</f>
        <v/>
      </c>
    </row>
    <row r="102" customFormat="false" ht="15" hidden="false" customHeight="false" outlineLevel="0" collapsed="false">
      <c r="A102" s="30"/>
      <c r="B102" s="30"/>
      <c r="C102" s="30"/>
      <c r="D102" s="30"/>
      <c r="E102" s="27"/>
      <c r="F102" s="47"/>
      <c r="G102" s="27"/>
      <c r="H102" s="30"/>
      <c r="I102" s="43"/>
      <c r="J102" s="41"/>
      <c r="K102" s="41"/>
      <c r="L102" s="30"/>
      <c r="M102" s="43"/>
      <c r="N102" s="43"/>
      <c r="O102" s="41"/>
      <c r="P102" s="43"/>
      <c r="Q102" s="30"/>
      <c r="R102" s="24" t="str">
        <f aca="false">IF(OR(J102="",K102="",J102=0),"",1-K102/J102)</f>
        <v/>
      </c>
      <c r="S102" s="45" t="str">
        <f aca="false">IF(OR(I102="",M102=""),"",M102-I102)</f>
        <v/>
      </c>
      <c r="T102" s="24" t="str">
        <f aca="false">IF(OR(J102="",O102="",J102=0),"",O102/J102)</f>
        <v/>
      </c>
      <c r="U102" s="46" t="str">
        <f aca="false">IF(OR(J102="",G102="",G102=0),"",J102/G102)</f>
        <v/>
      </c>
      <c r="V102" s="46" t="str">
        <f aca="false">IF(OR(O102="",G102="",G102=0),"",O102/G102)</f>
        <v/>
      </c>
    </row>
    <row r="103" customFormat="false" ht="15" hidden="false" customHeight="false" outlineLevel="0" collapsed="false">
      <c r="A103" s="30"/>
      <c r="B103" s="30"/>
      <c r="C103" s="30"/>
      <c r="D103" s="30"/>
      <c r="E103" s="27"/>
      <c r="F103" s="47"/>
      <c r="G103" s="27"/>
      <c r="H103" s="30"/>
      <c r="I103" s="43"/>
      <c r="J103" s="41"/>
      <c r="K103" s="41"/>
      <c r="L103" s="30"/>
      <c r="M103" s="43"/>
      <c r="N103" s="43"/>
      <c r="O103" s="41"/>
      <c r="P103" s="43"/>
      <c r="Q103" s="30"/>
      <c r="R103" s="24" t="str">
        <f aca="false">IF(OR(J103="",K103="",J103=0),"",1-K103/J103)</f>
        <v/>
      </c>
      <c r="S103" s="45" t="str">
        <f aca="false">IF(OR(I103="",M103=""),"",M103-I103)</f>
        <v/>
      </c>
      <c r="T103" s="24" t="str">
        <f aca="false">IF(OR(J103="",O103="",J103=0),"",O103/J103)</f>
        <v/>
      </c>
      <c r="U103" s="46" t="str">
        <f aca="false">IF(OR(J103="",G103="",G103=0),"",J103/G103)</f>
        <v/>
      </c>
      <c r="V103" s="46" t="str">
        <f aca="false">IF(OR(O103="",G103="",G103=0),"",O103/G103)</f>
        <v/>
      </c>
    </row>
    <row r="104" customFormat="false" ht="15" hidden="false" customHeight="false" outlineLevel="0" collapsed="false">
      <c r="A104" s="30"/>
      <c r="B104" s="30"/>
      <c r="C104" s="30"/>
      <c r="D104" s="30"/>
      <c r="E104" s="27"/>
      <c r="F104" s="47"/>
      <c r="G104" s="27"/>
      <c r="H104" s="30"/>
      <c r="I104" s="43"/>
      <c r="J104" s="41"/>
      <c r="K104" s="41"/>
      <c r="L104" s="30"/>
      <c r="M104" s="43"/>
      <c r="N104" s="43"/>
      <c r="O104" s="41"/>
      <c r="P104" s="43"/>
      <c r="Q104" s="30"/>
      <c r="R104" s="24" t="str">
        <f aca="false">IF(OR(J104="",K104="",J104=0),"",1-K104/J104)</f>
        <v/>
      </c>
      <c r="S104" s="45" t="str">
        <f aca="false">IF(OR(I104="",M104=""),"",M104-I104)</f>
        <v/>
      </c>
      <c r="T104" s="24" t="str">
        <f aca="false">IF(OR(J104="",O104="",J104=0),"",O104/J104)</f>
        <v/>
      </c>
      <c r="U104" s="46" t="str">
        <f aca="false">IF(OR(J104="",G104="",G104=0),"",J104/G104)</f>
        <v/>
      </c>
      <c r="V104" s="46" t="str">
        <f aca="false">IF(OR(O104="",G104="",G104=0),"",O104/G104)</f>
        <v/>
      </c>
    </row>
    <row r="105" customFormat="false" ht="15" hidden="false" customHeight="false" outlineLevel="0" collapsed="false">
      <c r="A105" s="30"/>
      <c r="B105" s="30"/>
      <c r="C105" s="30"/>
      <c r="D105" s="30"/>
      <c r="E105" s="27"/>
      <c r="F105" s="47"/>
      <c r="G105" s="27"/>
      <c r="H105" s="30"/>
      <c r="I105" s="43"/>
      <c r="J105" s="41"/>
      <c r="K105" s="41"/>
      <c r="L105" s="30"/>
      <c r="M105" s="43"/>
      <c r="N105" s="43"/>
      <c r="O105" s="41"/>
      <c r="P105" s="43"/>
      <c r="Q105" s="30"/>
      <c r="R105" s="24" t="str">
        <f aca="false">IF(OR(J105="",K105="",J105=0),"",1-K105/J105)</f>
        <v/>
      </c>
      <c r="S105" s="45" t="str">
        <f aca="false">IF(OR(I105="",M105=""),"",M105-I105)</f>
        <v/>
      </c>
      <c r="T105" s="24" t="str">
        <f aca="false">IF(OR(J105="",O105="",J105=0),"",O105/J105)</f>
        <v/>
      </c>
      <c r="U105" s="46" t="str">
        <f aca="false">IF(OR(J105="",G105="",G105=0),"",J105/G105)</f>
        <v/>
      </c>
      <c r="V105" s="46" t="str">
        <f aca="false">IF(OR(O105="",G105="",G105=0),"",O105/G105)</f>
        <v/>
      </c>
    </row>
    <row r="106" customFormat="false" ht="15" hidden="false" customHeight="false" outlineLevel="0" collapsed="false">
      <c r="A106" s="30"/>
      <c r="B106" s="30"/>
      <c r="C106" s="30"/>
      <c r="D106" s="30"/>
      <c r="E106" s="27"/>
      <c r="F106" s="47"/>
      <c r="G106" s="27"/>
      <c r="H106" s="30"/>
      <c r="I106" s="43"/>
      <c r="J106" s="41"/>
      <c r="K106" s="41"/>
      <c r="L106" s="30"/>
      <c r="M106" s="43"/>
      <c r="N106" s="43"/>
      <c r="O106" s="41"/>
      <c r="P106" s="43"/>
      <c r="Q106" s="30"/>
      <c r="R106" s="24" t="str">
        <f aca="false">IF(OR(J106="",K106="",J106=0),"",1-K106/J106)</f>
        <v/>
      </c>
      <c r="S106" s="45" t="str">
        <f aca="false">IF(OR(I106="",M106=""),"",M106-I106)</f>
        <v/>
      </c>
      <c r="T106" s="24" t="str">
        <f aca="false">IF(OR(J106="",O106="",J106=0),"",O106/J106)</f>
        <v/>
      </c>
      <c r="U106" s="46" t="str">
        <f aca="false">IF(OR(J106="",G106="",G106=0),"",J106/G106)</f>
        <v/>
      </c>
      <c r="V106" s="46" t="str">
        <f aca="false">IF(OR(O106="",G106="",G106=0),"",O106/G106)</f>
        <v/>
      </c>
    </row>
    <row r="107" customFormat="false" ht="15" hidden="false" customHeight="false" outlineLevel="0" collapsed="false">
      <c r="A107" s="30"/>
      <c r="B107" s="30"/>
      <c r="C107" s="30"/>
      <c r="D107" s="30"/>
      <c r="E107" s="27"/>
      <c r="F107" s="47"/>
      <c r="G107" s="27"/>
      <c r="H107" s="30"/>
      <c r="I107" s="43"/>
      <c r="J107" s="41"/>
      <c r="K107" s="41"/>
      <c r="L107" s="30"/>
      <c r="M107" s="43"/>
      <c r="N107" s="43"/>
      <c r="O107" s="41"/>
      <c r="P107" s="43"/>
      <c r="Q107" s="30"/>
      <c r="R107" s="24" t="str">
        <f aca="false">IF(OR(J107="",K107="",J107=0),"",1-K107/J107)</f>
        <v/>
      </c>
      <c r="S107" s="45" t="str">
        <f aca="false">IF(OR(I107="",M107=""),"",M107-I107)</f>
        <v/>
      </c>
      <c r="T107" s="24" t="str">
        <f aca="false">IF(OR(J107="",O107="",J107=0),"",O107/J107)</f>
        <v/>
      </c>
      <c r="U107" s="46" t="str">
        <f aca="false">IF(OR(J107="",G107="",G107=0),"",J107/G107)</f>
        <v/>
      </c>
      <c r="V107" s="46" t="str">
        <f aca="false">IF(OR(O107="",G107="",G107=0),"",O107/G107)</f>
        <v/>
      </c>
    </row>
    <row r="108" customFormat="false" ht="15" hidden="false" customHeight="false" outlineLevel="0" collapsed="false">
      <c r="A108" s="30"/>
      <c r="B108" s="30"/>
      <c r="C108" s="30"/>
      <c r="D108" s="30"/>
      <c r="E108" s="27"/>
      <c r="F108" s="47"/>
      <c r="G108" s="27"/>
      <c r="H108" s="30"/>
      <c r="I108" s="43"/>
      <c r="J108" s="41"/>
      <c r="K108" s="41"/>
      <c r="L108" s="30"/>
      <c r="M108" s="43"/>
      <c r="N108" s="43"/>
      <c r="O108" s="41"/>
      <c r="P108" s="43"/>
      <c r="Q108" s="30"/>
      <c r="R108" s="24" t="str">
        <f aca="false">IF(OR(J108="",K108="",J108=0),"",1-K108/J108)</f>
        <v/>
      </c>
      <c r="S108" s="45" t="str">
        <f aca="false">IF(OR(I108="",M108=""),"",M108-I108)</f>
        <v/>
      </c>
      <c r="T108" s="24" t="str">
        <f aca="false">IF(OR(J108="",O108="",J108=0),"",O108/J108)</f>
        <v/>
      </c>
      <c r="U108" s="46" t="str">
        <f aca="false">IF(OR(J108="",G108="",G108=0),"",J108/G108)</f>
        <v/>
      </c>
      <c r="V108" s="46" t="str">
        <f aca="false">IF(OR(O108="",G108="",G108=0),"",O108/G108)</f>
        <v/>
      </c>
    </row>
    <row r="109" customFormat="false" ht="15" hidden="false" customHeight="false" outlineLevel="0" collapsed="false">
      <c r="A109" s="30"/>
      <c r="B109" s="30"/>
      <c r="C109" s="30"/>
      <c r="D109" s="30"/>
      <c r="E109" s="27"/>
      <c r="F109" s="47"/>
      <c r="G109" s="27"/>
      <c r="H109" s="30"/>
      <c r="I109" s="43"/>
      <c r="J109" s="41"/>
      <c r="K109" s="41"/>
      <c r="L109" s="30"/>
      <c r="M109" s="43"/>
      <c r="N109" s="43"/>
      <c r="O109" s="41"/>
      <c r="P109" s="43"/>
      <c r="Q109" s="30"/>
      <c r="R109" s="24" t="str">
        <f aca="false">IF(OR(J109="",K109="",J109=0),"",1-K109/J109)</f>
        <v/>
      </c>
      <c r="S109" s="45" t="str">
        <f aca="false">IF(OR(I109="",M109=""),"",M109-I109)</f>
        <v/>
      </c>
      <c r="T109" s="24" t="str">
        <f aca="false">IF(OR(J109="",O109="",J109=0),"",O109/J109)</f>
        <v/>
      </c>
      <c r="U109" s="46" t="str">
        <f aca="false">IF(OR(J109="",G109="",G109=0),"",J109/G109)</f>
        <v/>
      </c>
      <c r="V109" s="46" t="str">
        <f aca="false">IF(OR(O109="",G109="",G109=0),"",O109/G109)</f>
        <v/>
      </c>
    </row>
    <row r="110" customFormat="false" ht="15" hidden="false" customHeight="false" outlineLevel="0" collapsed="false">
      <c r="A110" s="30"/>
      <c r="B110" s="30"/>
      <c r="C110" s="30"/>
      <c r="D110" s="30"/>
      <c r="E110" s="27"/>
      <c r="F110" s="47"/>
      <c r="G110" s="27"/>
      <c r="H110" s="30"/>
      <c r="I110" s="43"/>
      <c r="J110" s="41"/>
      <c r="K110" s="41"/>
      <c r="L110" s="30"/>
      <c r="M110" s="43"/>
      <c r="N110" s="43"/>
      <c r="O110" s="41"/>
      <c r="P110" s="43"/>
      <c r="Q110" s="30"/>
      <c r="R110" s="24" t="str">
        <f aca="false">IF(OR(J110="",K110="",J110=0),"",1-K110/J110)</f>
        <v/>
      </c>
      <c r="S110" s="45" t="str">
        <f aca="false">IF(OR(I110="",M110=""),"",M110-I110)</f>
        <v/>
      </c>
      <c r="T110" s="24" t="str">
        <f aca="false">IF(OR(J110="",O110="",J110=0),"",O110/J110)</f>
        <v/>
      </c>
      <c r="U110" s="46" t="str">
        <f aca="false">IF(OR(J110="",G110="",G110=0),"",J110/G110)</f>
        <v/>
      </c>
      <c r="V110" s="46" t="str">
        <f aca="false">IF(OR(O110="",G110="",G110=0),"",O110/G110)</f>
        <v/>
      </c>
    </row>
    <row r="111" customFormat="false" ht="15" hidden="false" customHeight="false" outlineLevel="0" collapsed="false">
      <c r="A111" s="30"/>
      <c r="B111" s="30"/>
      <c r="C111" s="30"/>
      <c r="D111" s="30"/>
      <c r="E111" s="27"/>
      <c r="F111" s="47"/>
      <c r="G111" s="27"/>
      <c r="H111" s="30"/>
      <c r="I111" s="43"/>
      <c r="J111" s="41"/>
      <c r="K111" s="41"/>
      <c r="L111" s="30"/>
      <c r="M111" s="43"/>
      <c r="N111" s="43"/>
      <c r="O111" s="41"/>
      <c r="P111" s="43"/>
      <c r="Q111" s="30"/>
      <c r="R111" s="24" t="str">
        <f aca="false">IF(OR(J111="",K111="",J111=0),"",1-K111/J111)</f>
        <v/>
      </c>
      <c r="S111" s="45" t="str">
        <f aca="false">IF(OR(I111="",M111=""),"",M111-I111)</f>
        <v/>
      </c>
      <c r="T111" s="24" t="str">
        <f aca="false">IF(OR(J111="",O111="",J111=0),"",O111/J111)</f>
        <v/>
      </c>
      <c r="U111" s="46" t="str">
        <f aca="false">IF(OR(J111="",G111="",G111=0),"",J111/G111)</f>
        <v/>
      </c>
      <c r="V111" s="46" t="str">
        <f aca="false">IF(OR(O111="",G111="",G111=0),"",O111/G111)</f>
        <v/>
      </c>
    </row>
    <row r="112" customFormat="false" ht="15" hidden="false" customHeight="false" outlineLevel="0" collapsed="false">
      <c r="A112" s="30"/>
      <c r="B112" s="30"/>
      <c r="C112" s="30"/>
      <c r="D112" s="30"/>
      <c r="E112" s="27"/>
      <c r="F112" s="47"/>
      <c r="G112" s="27"/>
      <c r="H112" s="30"/>
      <c r="I112" s="43"/>
      <c r="J112" s="41"/>
      <c r="K112" s="41"/>
      <c r="L112" s="30"/>
      <c r="M112" s="43"/>
      <c r="N112" s="43"/>
      <c r="O112" s="41"/>
      <c r="P112" s="43"/>
      <c r="Q112" s="30"/>
      <c r="R112" s="24" t="str">
        <f aca="false">IF(OR(J112="",K112="",J112=0),"",1-K112/J112)</f>
        <v/>
      </c>
      <c r="S112" s="45" t="str">
        <f aca="false">IF(OR(I112="",M112=""),"",M112-I112)</f>
        <v/>
      </c>
      <c r="T112" s="24" t="str">
        <f aca="false">IF(OR(J112="",O112="",J112=0),"",O112/J112)</f>
        <v/>
      </c>
      <c r="U112" s="46" t="str">
        <f aca="false">IF(OR(J112="",G112="",G112=0),"",J112/G112)</f>
        <v/>
      </c>
      <c r="V112" s="46" t="str">
        <f aca="false">IF(OR(O112="",G112="",G112=0),"",O112/G112)</f>
        <v/>
      </c>
    </row>
    <row r="113" customFormat="false" ht="15" hidden="false" customHeight="false" outlineLevel="0" collapsed="false">
      <c r="A113" s="30"/>
      <c r="B113" s="30"/>
      <c r="C113" s="30"/>
      <c r="D113" s="30"/>
      <c r="E113" s="27"/>
      <c r="F113" s="47"/>
      <c r="G113" s="27"/>
      <c r="H113" s="30"/>
      <c r="I113" s="43"/>
      <c r="J113" s="41"/>
      <c r="K113" s="41"/>
      <c r="L113" s="30"/>
      <c r="M113" s="43"/>
      <c r="N113" s="43"/>
      <c r="O113" s="41"/>
      <c r="P113" s="43"/>
      <c r="Q113" s="30"/>
      <c r="R113" s="24" t="str">
        <f aca="false">IF(OR(J113="",K113="",J113=0),"",1-K113/J113)</f>
        <v/>
      </c>
      <c r="S113" s="45" t="str">
        <f aca="false">IF(OR(I113="",M113=""),"",M113-I113)</f>
        <v/>
      </c>
      <c r="T113" s="24" t="str">
        <f aca="false">IF(OR(J113="",O113="",J113=0),"",O113/J113)</f>
        <v/>
      </c>
      <c r="U113" s="46" t="str">
        <f aca="false">IF(OR(J113="",G113="",G113=0),"",J113/G113)</f>
        <v/>
      </c>
      <c r="V113" s="46" t="str">
        <f aca="false">IF(OR(O113="",G113="",G113=0),"",O113/G113)</f>
        <v/>
      </c>
    </row>
    <row r="114" customFormat="false" ht="15" hidden="false" customHeight="false" outlineLevel="0" collapsed="false">
      <c r="A114" s="30"/>
      <c r="B114" s="30"/>
      <c r="C114" s="30"/>
      <c r="D114" s="30"/>
      <c r="E114" s="27"/>
      <c r="F114" s="47"/>
      <c r="G114" s="27"/>
      <c r="H114" s="30"/>
      <c r="I114" s="43"/>
      <c r="J114" s="41"/>
      <c r="K114" s="41"/>
      <c r="L114" s="30"/>
      <c r="M114" s="43"/>
      <c r="N114" s="43"/>
      <c r="O114" s="41"/>
      <c r="P114" s="43"/>
      <c r="Q114" s="30"/>
      <c r="R114" s="24" t="str">
        <f aca="false">IF(OR(J114="",K114="",J114=0),"",1-K114/J114)</f>
        <v/>
      </c>
      <c r="S114" s="45" t="str">
        <f aca="false">IF(OR(I114="",M114=""),"",M114-I114)</f>
        <v/>
      </c>
      <c r="T114" s="24" t="str">
        <f aca="false">IF(OR(J114="",O114="",J114=0),"",O114/J114)</f>
        <v/>
      </c>
      <c r="U114" s="46" t="str">
        <f aca="false">IF(OR(J114="",G114="",G114=0),"",J114/G114)</f>
        <v/>
      </c>
      <c r="V114" s="46" t="str">
        <f aca="false">IF(OR(O114="",G114="",G114=0),"",O114/G114)</f>
        <v/>
      </c>
    </row>
    <row r="115" customFormat="false" ht="15" hidden="false" customHeight="false" outlineLevel="0" collapsed="false">
      <c r="A115" s="30"/>
      <c r="B115" s="30"/>
      <c r="C115" s="30"/>
      <c r="D115" s="30"/>
      <c r="E115" s="27"/>
      <c r="F115" s="47"/>
      <c r="G115" s="27"/>
      <c r="H115" s="30"/>
      <c r="I115" s="43"/>
      <c r="J115" s="41"/>
      <c r="K115" s="41"/>
      <c r="L115" s="30"/>
      <c r="M115" s="43"/>
      <c r="N115" s="43"/>
      <c r="O115" s="41"/>
      <c r="P115" s="43"/>
      <c r="Q115" s="30"/>
      <c r="R115" s="24" t="str">
        <f aca="false">IF(OR(J115="",K115="",J115=0),"",1-K115/J115)</f>
        <v/>
      </c>
      <c r="S115" s="45" t="str">
        <f aca="false">IF(OR(I115="",M115=""),"",M115-I115)</f>
        <v/>
      </c>
      <c r="T115" s="24" t="str">
        <f aca="false">IF(OR(J115="",O115="",J115=0),"",O115/J115)</f>
        <v/>
      </c>
      <c r="U115" s="46" t="str">
        <f aca="false">IF(OR(J115="",G115="",G115=0),"",J115/G115)</f>
        <v/>
      </c>
      <c r="V115" s="46" t="str">
        <f aca="false">IF(OR(O115="",G115="",G115=0),"",O115/G115)</f>
        <v/>
      </c>
    </row>
    <row r="116" customFormat="false" ht="15" hidden="false" customHeight="false" outlineLevel="0" collapsed="false">
      <c r="A116" s="30"/>
      <c r="B116" s="30"/>
      <c r="C116" s="30"/>
      <c r="D116" s="30"/>
      <c r="E116" s="27"/>
      <c r="F116" s="47"/>
      <c r="G116" s="27"/>
      <c r="H116" s="30"/>
      <c r="I116" s="43"/>
      <c r="J116" s="41"/>
      <c r="K116" s="41"/>
      <c r="L116" s="30"/>
      <c r="M116" s="43"/>
      <c r="N116" s="43"/>
      <c r="O116" s="41"/>
      <c r="P116" s="43"/>
      <c r="Q116" s="30"/>
      <c r="R116" s="24" t="str">
        <f aca="false">IF(OR(J116="",K116="",J116=0),"",1-K116/J116)</f>
        <v/>
      </c>
      <c r="S116" s="45" t="str">
        <f aca="false">IF(OR(I116="",M116=""),"",M116-I116)</f>
        <v/>
      </c>
      <c r="T116" s="24" t="str">
        <f aca="false">IF(OR(J116="",O116="",J116=0),"",O116/J116)</f>
        <v/>
      </c>
      <c r="U116" s="46" t="str">
        <f aca="false">IF(OR(J116="",G116="",G116=0),"",J116/G116)</f>
        <v/>
      </c>
      <c r="V116" s="46" t="str">
        <f aca="false">IF(OR(O116="",G116="",G116=0),"",O116/G116)</f>
        <v/>
      </c>
    </row>
    <row r="117" customFormat="false" ht="15" hidden="false" customHeight="false" outlineLevel="0" collapsed="false">
      <c r="A117" s="30"/>
      <c r="B117" s="30"/>
      <c r="C117" s="30"/>
      <c r="D117" s="30"/>
      <c r="E117" s="27"/>
      <c r="F117" s="47"/>
      <c r="G117" s="27"/>
      <c r="H117" s="30"/>
      <c r="I117" s="43"/>
      <c r="J117" s="41"/>
      <c r="K117" s="41"/>
      <c r="L117" s="30"/>
      <c r="M117" s="43"/>
      <c r="N117" s="43"/>
      <c r="O117" s="41"/>
      <c r="P117" s="43"/>
      <c r="Q117" s="30"/>
      <c r="R117" s="24" t="str">
        <f aca="false">IF(OR(J117="",K117="",J117=0),"",1-K117/J117)</f>
        <v/>
      </c>
      <c r="S117" s="45" t="str">
        <f aca="false">IF(OR(I117="",M117=""),"",M117-I117)</f>
        <v/>
      </c>
      <c r="T117" s="24" t="str">
        <f aca="false">IF(OR(J117="",O117="",J117=0),"",O117/J117)</f>
        <v/>
      </c>
      <c r="U117" s="46" t="str">
        <f aca="false">IF(OR(J117="",G117="",G117=0),"",J117/G117)</f>
        <v/>
      </c>
      <c r="V117" s="46" t="str">
        <f aca="false">IF(OR(O117="",G117="",G117=0),"",O117/G117)</f>
        <v/>
      </c>
    </row>
    <row r="118" customFormat="false" ht="15" hidden="false" customHeight="false" outlineLevel="0" collapsed="false">
      <c r="A118" s="30"/>
      <c r="B118" s="30"/>
      <c r="C118" s="30"/>
      <c r="D118" s="30"/>
      <c r="E118" s="27"/>
      <c r="F118" s="47"/>
      <c r="G118" s="27"/>
      <c r="H118" s="30"/>
      <c r="I118" s="43"/>
      <c r="J118" s="41"/>
      <c r="K118" s="41"/>
      <c r="L118" s="30"/>
      <c r="M118" s="43"/>
      <c r="N118" s="43"/>
      <c r="O118" s="41"/>
      <c r="P118" s="43"/>
      <c r="Q118" s="30"/>
      <c r="R118" s="24" t="str">
        <f aca="false">IF(OR(J118="",K118="",J118=0),"",1-K118/J118)</f>
        <v/>
      </c>
      <c r="S118" s="45" t="str">
        <f aca="false">IF(OR(I118="",M118=""),"",M118-I118)</f>
        <v/>
      </c>
      <c r="T118" s="24" t="str">
        <f aca="false">IF(OR(J118="",O118="",J118=0),"",O118/J118)</f>
        <v/>
      </c>
      <c r="U118" s="46" t="str">
        <f aca="false">IF(OR(J118="",G118="",G118=0),"",J118/G118)</f>
        <v/>
      </c>
      <c r="V118" s="46" t="str">
        <f aca="false">IF(OR(O118="",G118="",G118=0),"",O118/G118)</f>
        <v/>
      </c>
    </row>
    <row r="119" customFormat="false" ht="15" hidden="false" customHeight="false" outlineLevel="0" collapsed="false">
      <c r="A119" s="30"/>
      <c r="B119" s="30"/>
      <c r="C119" s="30"/>
      <c r="D119" s="30"/>
      <c r="E119" s="27"/>
      <c r="F119" s="47"/>
      <c r="G119" s="27"/>
      <c r="H119" s="30"/>
      <c r="I119" s="43"/>
      <c r="J119" s="41"/>
      <c r="K119" s="41"/>
      <c r="L119" s="30"/>
      <c r="M119" s="43"/>
      <c r="N119" s="43"/>
      <c r="O119" s="41"/>
      <c r="P119" s="43"/>
      <c r="Q119" s="30"/>
      <c r="R119" s="24" t="str">
        <f aca="false">IF(OR(J119="",K119="",J119=0),"",1-K119/J119)</f>
        <v/>
      </c>
      <c r="S119" s="45" t="str">
        <f aca="false">IF(OR(I119="",M119=""),"",M119-I119)</f>
        <v/>
      </c>
      <c r="T119" s="24" t="str">
        <f aca="false">IF(OR(J119="",O119="",J119=0),"",O119/J119)</f>
        <v/>
      </c>
      <c r="U119" s="46" t="str">
        <f aca="false">IF(OR(J119="",G119="",G119=0),"",J119/G119)</f>
        <v/>
      </c>
      <c r="V119" s="46" t="str">
        <f aca="false">IF(OR(O119="",G119="",G119=0),"",O119/G119)</f>
        <v/>
      </c>
    </row>
    <row r="120" customFormat="false" ht="15" hidden="false" customHeight="false" outlineLevel="0" collapsed="false">
      <c r="A120" s="30"/>
      <c r="B120" s="30"/>
      <c r="C120" s="30"/>
      <c r="D120" s="30"/>
      <c r="E120" s="27"/>
      <c r="F120" s="47"/>
      <c r="G120" s="27"/>
      <c r="H120" s="30"/>
      <c r="I120" s="43"/>
      <c r="J120" s="41"/>
      <c r="K120" s="41"/>
      <c r="L120" s="30"/>
      <c r="M120" s="43"/>
      <c r="N120" s="43"/>
      <c r="O120" s="41"/>
      <c r="P120" s="43"/>
      <c r="Q120" s="30"/>
      <c r="R120" s="24" t="str">
        <f aca="false">IF(OR(J120="",K120="",J120=0),"",1-K120/J120)</f>
        <v/>
      </c>
      <c r="S120" s="45" t="str">
        <f aca="false">IF(OR(I120="",M120=""),"",M120-I120)</f>
        <v/>
      </c>
      <c r="T120" s="24" t="str">
        <f aca="false">IF(OR(J120="",O120="",J120=0),"",O120/J120)</f>
        <v/>
      </c>
      <c r="U120" s="46" t="str">
        <f aca="false">IF(OR(J120="",G120="",G120=0),"",J120/G120)</f>
        <v/>
      </c>
      <c r="V120" s="46" t="str">
        <f aca="false">IF(OR(O120="",G120="",G120=0),"",O120/G120)</f>
        <v/>
      </c>
    </row>
    <row r="121" customFormat="false" ht="15" hidden="false" customHeight="false" outlineLevel="0" collapsed="false">
      <c r="A121" s="30"/>
      <c r="B121" s="30"/>
      <c r="C121" s="30"/>
      <c r="D121" s="30"/>
      <c r="E121" s="27"/>
      <c r="F121" s="47"/>
      <c r="G121" s="27"/>
      <c r="H121" s="30"/>
      <c r="I121" s="43"/>
      <c r="J121" s="41"/>
      <c r="K121" s="41"/>
      <c r="L121" s="30"/>
      <c r="M121" s="43"/>
      <c r="N121" s="43"/>
      <c r="O121" s="41"/>
      <c r="P121" s="43"/>
      <c r="Q121" s="30"/>
      <c r="R121" s="24" t="str">
        <f aca="false">IF(OR(J121="",K121="",J121=0),"",1-K121/J121)</f>
        <v/>
      </c>
      <c r="S121" s="45" t="str">
        <f aca="false">IF(OR(I121="",M121=""),"",M121-I121)</f>
        <v/>
      </c>
      <c r="T121" s="24" t="str">
        <f aca="false">IF(OR(J121="",O121="",J121=0),"",O121/J121)</f>
        <v/>
      </c>
      <c r="U121" s="46" t="str">
        <f aca="false">IF(OR(J121="",G121="",G121=0),"",J121/G121)</f>
        <v/>
      </c>
      <c r="V121" s="46" t="str">
        <f aca="false">IF(OR(O121="",G121="",G121=0),"",O121/G121)</f>
        <v/>
      </c>
    </row>
    <row r="122" customFormat="false" ht="15" hidden="false" customHeight="false" outlineLevel="0" collapsed="false">
      <c r="A122" s="30"/>
      <c r="B122" s="30"/>
      <c r="C122" s="30"/>
      <c r="D122" s="30"/>
      <c r="E122" s="27"/>
      <c r="F122" s="47"/>
      <c r="G122" s="27"/>
      <c r="H122" s="30"/>
      <c r="I122" s="43"/>
      <c r="J122" s="41"/>
      <c r="K122" s="41"/>
      <c r="L122" s="30"/>
      <c r="M122" s="43"/>
      <c r="N122" s="43"/>
      <c r="O122" s="41"/>
      <c r="P122" s="43"/>
      <c r="Q122" s="30"/>
      <c r="R122" s="24" t="str">
        <f aca="false">IF(OR(J122="",K122="",J122=0),"",1-K122/J122)</f>
        <v/>
      </c>
      <c r="S122" s="45" t="str">
        <f aca="false">IF(OR(I122="",M122=""),"",M122-I122)</f>
        <v/>
      </c>
      <c r="T122" s="24" t="str">
        <f aca="false">IF(OR(J122="",O122="",J122=0),"",O122/J122)</f>
        <v/>
      </c>
      <c r="U122" s="46" t="str">
        <f aca="false">IF(OR(J122="",G122="",G122=0),"",J122/G122)</f>
        <v/>
      </c>
      <c r="V122" s="46" t="str">
        <f aca="false">IF(OR(O122="",G122="",G122=0),"",O122/G122)</f>
        <v/>
      </c>
    </row>
    <row r="123" customFormat="false" ht="15" hidden="false" customHeight="false" outlineLevel="0" collapsed="false">
      <c r="A123" s="30"/>
      <c r="B123" s="30"/>
      <c r="C123" s="30"/>
      <c r="D123" s="30"/>
      <c r="E123" s="27"/>
      <c r="F123" s="47"/>
      <c r="G123" s="27"/>
      <c r="H123" s="30"/>
      <c r="I123" s="43"/>
      <c r="J123" s="41"/>
      <c r="K123" s="41"/>
      <c r="L123" s="30"/>
      <c r="M123" s="43"/>
      <c r="N123" s="43"/>
      <c r="O123" s="41"/>
      <c r="P123" s="43"/>
      <c r="Q123" s="30"/>
      <c r="R123" s="24" t="str">
        <f aca="false">IF(OR(J123="",K123="",J123=0),"",1-K123/J123)</f>
        <v/>
      </c>
      <c r="S123" s="45" t="str">
        <f aca="false">IF(OR(I123="",M123=""),"",M123-I123)</f>
        <v/>
      </c>
      <c r="T123" s="24" t="str">
        <f aca="false">IF(OR(J123="",O123="",J123=0),"",O123/J123)</f>
        <v/>
      </c>
      <c r="U123" s="46" t="str">
        <f aca="false">IF(OR(J123="",G123="",G123=0),"",J123/G123)</f>
        <v/>
      </c>
      <c r="V123" s="46" t="str">
        <f aca="false">IF(OR(O123="",G123="",G123=0),"",O123/G123)</f>
        <v/>
      </c>
    </row>
    <row r="124" customFormat="false" ht="15" hidden="false" customHeight="false" outlineLevel="0" collapsed="false">
      <c r="A124" s="30"/>
      <c r="B124" s="30"/>
      <c r="C124" s="30"/>
      <c r="D124" s="30"/>
      <c r="E124" s="27"/>
      <c r="F124" s="47"/>
      <c r="G124" s="27"/>
      <c r="H124" s="30"/>
      <c r="I124" s="43"/>
      <c r="J124" s="41"/>
      <c r="K124" s="41"/>
      <c r="L124" s="30"/>
      <c r="M124" s="43"/>
      <c r="N124" s="43"/>
      <c r="O124" s="41"/>
      <c r="P124" s="43"/>
      <c r="Q124" s="30"/>
      <c r="R124" s="24" t="str">
        <f aca="false">IF(OR(J124="",K124="",J124=0),"",1-K124/J124)</f>
        <v/>
      </c>
      <c r="S124" s="45" t="str">
        <f aca="false">IF(OR(I124="",M124=""),"",M124-I124)</f>
        <v/>
      </c>
      <c r="T124" s="24" t="str">
        <f aca="false">IF(OR(J124="",O124="",J124=0),"",O124/J124)</f>
        <v/>
      </c>
      <c r="U124" s="46" t="str">
        <f aca="false">IF(OR(J124="",G124="",G124=0),"",J124/G124)</f>
        <v/>
      </c>
      <c r="V124" s="46" t="str">
        <f aca="false">IF(OR(O124="",G124="",G124=0),"",O124/G124)</f>
        <v/>
      </c>
    </row>
    <row r="125" customFormat="false" ht="15" hidden="false" customHeight="false" outlineLevel="0" collapsed="false">
      <c r="A125" s="30"/>
      <c r="B125" s="30"/>
      <c r="C125" s="30"/>
      <c r="D125" s="30"/>
      <c r="E125" s="27"/>
      <c r="F125" s="47"/>
      <c r="G125" s="27"/>
      <c r="H125" s="30"/>
      <c r="I125" s="43"/>
      <c r="J125" s="41"/>
      <c r="K125" s="41"/>
      <c r="L125" s="30"/>
      <c r="M125" s="43"/>
      <c r="N125" s="43"/>
      <c r="O125" s="41"/>
      <c r="P125" s="43"/>
      <c r="Q125" s="30"/>
      <c r="R125" s="24" t="str">
        <f aca="false">IF(OR(J125="",K125="",J125=0),"",1-K125/J125)</f>
        <v/>
      </c>
      <c r="S125" s="45" t="str">
        <f aca="false">IF(OR(I125="",M125=""),"",M125-I125)</f>
        <v/>
      </c>
      <c r="T125" s="24" t="str">
        <f aca="false">IF(OR(J125="",O125="",J125=0),"",O125/J125)</f>
        <v/>
      </c>
      <c r="U125" s="46" t="str">
        <f aca="false">IF(OR(J125="",G125="",G125=0),"",J125/G125)</f>
        <v/>
      </c>
      <c r="V125" s="46" t="str">
        <f aca="false">IF(OR(O125="",G125="",G125=0),"",O125/G125)</f>
        <v/>
      </c>
    </row>
    <row r="126" customFormat="false" ht="15" hidden="false" customHeight="false" outlineLevel="0" collapsed="false">
      <c r="A126" s="30"/>
      <c r="B126" s="30"/>
      <c r="C126" s="30"/>
      <c r="D126" s="30"/>
      <c r="E126" s="27"/>
      <c r="F126" s="47"/>
      <c r="G126" s="27"/>
      <c r="H126" s="30"/>
      <c r="I126" s="43"/>
      <c r="J126" s="41"/>
      <c r="K126" s="41"/>
      <c r="L126" s="30"/>
      <c r="M126" s="43"/>
      <c r="N126" s="43"/>
      <c r="O126" s="41"/>
      <c r="P126" s="43"/>
      <c r="Q126" s="30"/>
      <c r="R126" s="24" t="str">
        <f aca="false">IF(OR(J126="",K126="",J126=0),"",1-K126/J126)</f>
        <v/>
      </c>
      <c r="S126" s="45" t="str">
        <f aca="false">IF(OR(I126="",M126=""),"",M126-I126)</f>
        <v/>
      </c>
      <c r="T126" s="24" t="str">
        <f aca="false">IF(OR(J126="",O126="",J126=0),"",O126/J126)</f>
        <v/>
      </c>
      <c r="U126" s="46" t="str">
        <f aca="false">IF(OR(J126="",G126="",G126=0),"",J126/G126)</f>
        <v/>
      </c>
      <c r="V126" s="46" t="str">
        <f aca="false">IF(OR(O126="",G126="",G126=0),"",O126/G126)</f>
        <v/>
      </c>
    </row>
    <row r="127" customFormat="false" ht="15" hidden="false" customHeight="false" outlineLevel="0" collapsed="false">
      <c r="A127" s="30"/>
      <c r="B127" s="30"/>
      <c r="C127" s="30"/>
      <c r="D127" s="30"/>
      <c r="E127" s="27"/>
      <c r="F127" s="47"/>
      <c r="G127" s="27"/>
      <c r="H127" s="30"/>
      <c r="I127" s="43"/>
      <c r="J127" s="41"/>
      <c r="K127" s="41"/>
      <c r="L127" s="30"/>
      <c r="M127" s="43"/>
      <c r="N127" s="43"/>
      <c r="O127" s="41"/>
      <c r="P127" s="43"/>
      <c r="Q127" s="30"/>
      <c r="R127" s="24" t="str">
        <f aca="false">IF(OR(J127="",K127="",J127=0),"",1-K127/J127)</f>
        <v/>
      </c>
      <c r="S127" s="45" t="str">
        <f aca="false">IF(OR(I127="",M127=""),"",M127-I127)</f>
        <v/>
      </c>
      <c r="T127" s="24" t="str">
        <f aca="false">IF(OR(J127="",O127="",J127=0),"",O127/J127)</f>
        <v/>
      </c>
      <c r="U127" s="46" t="str">
        <f aca="false">IF(OR(J127="",G127="",G127=0),"",J127/G127)</f>
        <v/>
      </c>
      <c r="V127" s="46" t="str">
        <f aca="false">IF(OR(O127="",G127="",G127=0),"",O127/G127)</f>
        <v/>
      </c>
    </row>
    <row r="128" customFormat="false" ht="15" hidden="false" customHeight="false" outlineLevel="0" collapsed="false">
      <c r="A128" s="30"/>
      <c r="B128" s="30"/>
      <c r="C128" s="30"/>
      <c r="D128" s="30"/>
      <c r="E128" s="27"/>
      <c r="F128" s="47"/>
      <c r="G128" s="27"/>
      <c r="H128" s="30"/>
      <c r="I128" s="43"/>
      <c r="J128" s="41"/>
      <c r="K128" s="41"/>
      <c r="L128" s="30"/>
      <c r="M128" s="43"/>
      <c r="N128" s="43"/>
      <c r="O128" s="41"/>
      <c r="P128" s="43"/>
      <c r="Q128" s="30"/>
      <c r="R128" s="24" t="str">
        <f aca="false">IF(OR(J128="",K128="",J128=0),"",1-K128/J128)</f>
        <v/>
      </c>
      <c r="S128" s="45" t="str">
        <f aca="false">IF(OR(I128="",M128=""),"",M128-I128)</f>
        <v/>
      </c>
      <c r="T128" s="24" t="str">
        <f aca="false">IF(OR(J128="",O128="",J128=0),"",O128/J128)</f>
        <v/>
      </c>
      <c r="U128" s="46" t="str">
        <f aca="false">IF(OR(J128="",G128="",G128=0),"",J128/G128)</f>
        <v/>
      </c>
      <c r="V128" s="46" t="str">
        <f aca="false">IF(OR(O128="",G128="",G128=0),"",O128/G128)</f>
        <v/>
      </c>
    </row>
    <row r="129" customFormat="false" ht="15" hidden="false" customHeight="false" outlineLevel="0" collapsed="false">
      <c r="A129" s="30"/>
      <c r="B129" s="30"/>
      <c r="C129" s="30"/>
      <c r="D129" s="30"/>
      <c r="E129" s="27"/>
      <c r="F129" s="47"/>
      <c r="G129" s="27"/>
      <c r="H129" s="30"/>
      <c r="I129" s="43"/>
      <c r="J129" s="41"/>
      <c r="K129" s="41"/>
      <c r="L129" s="30"/>
      <c r="M129" s="43"/>
      <c r="N129" s="43"/>
      <c r="O129" s="41"/>
      <c r="P129" s="43"/>
      <c r="Q129" s="30"/>
      <c r="R129" s="24" t="str">
        <f aca="false">IF(OR(J129="",K129="",J129=0),"",1-K129/J129)</f>
        <v/>
      </c>
      <c r="S129" s="45" t="str">
        <f aca="false">IF(OR(I129="",M129=""),"",M129-I129)</f>
        <v/>
      </c>
      <c r="T129" s="24" t="str">
        <f aca="false">IF(OR(J129="",O129="",J129=0),"",O129/J129)</f>
        <v/>
      </c>
      <c r="U129" s="46" t="str">
        <f aca="false">IF(OR(J129="",G129="",G129=0),"",J129/G129)</f>
        <v/>
      </c>
      <c r="V129" s="46" t="str">
        <f aca="false">IF(OR(O129="",G129="",G129=0),"",O129/G129)</f>
        <v/>
      </c>
    </row>
    <row r="130" customFormat="false" ht="15" hidden="false" customHeight="false" outlineLevel="0" collapsed="false">
      <c r="A130" s="30"/>
      <c r="B130" s="30"/>
      <c r="C130" s="30"/>
      <c r="D130" s="30"/>
      <c r="E130" s="27"/>
      <c r="F130" s="47"/>
      <c r="G130" s="27"/>
      <c r="H130" s="30"/>
      <c r="I130" s="43"/>
      <c r="J130" s="41"/>
      <c r="K130" s="41"/>
      <c r="L130" s="30"/>
      <c r="M130" s="43"/>
      <c r="N130" s="43"/>
      <c r="O130" s="41"/>
      <c r="P130" s="43"/>
      <c r="Q130" s="30"/>
      <c r="R130" s="24" t="str">
        <f aca="false">IF(OR(J130="",K130="",J130=0),"",1-K130/J130)</f>
        <v/>
      </c>
      <c r="S130" s="45" t="str">
        <f aca="false">IF(OR(I130="",M130=""),"",M130-I130)</f>
        <v/>
      </c>
      <c r="T130" s="24" t="str">
        <f aca="false">IF(OR(J130="",O130="",J130=0),"",O130/J130)</f>
        <v/>
      </c>
      <c r="U130" s="46" t="str">
        <f aca="false">IF(OR(J130="",G130="",G130=0),"",J130/G130)</f>
        <v/>
      </c>
      <c r="V130" s="46" t="str">
        <f aca="false">IF(OR(O130="",G130="",G130=0),"",O130/G130)</f>
        <v/>
      </c>
    </row>
    <row r="131" customFormat="false" ht="15" hidden="false" customHeight="false" outlineLevel="0" collapsed="false">
      <c r="A131" s="30"/>
      <c r="B131" s="30"/>
      <c r="C131" s="30"/>
      <c r="D131" s="30"/>
      <c r="E131" s="27"/>
      <c r="F131" s="47"/>
      <c r="G131" s="27"/>
      <c r="H131" s="30"/>
      <c r="I131" s="43"/>
      <c r="J131" s="41"/>
      <c r="K131" s="41"/>
      <c r="L131" s="30"/>
      <c r="M131" s="43"/>
      <c r="N131" s="43"/>
      <c r="O131" s="41"/>
      <c r="P131" s="43"/>
      <c r="Q131" s="30"/>
      <c r="R131" s="24" t="str">
        <f aca="false">IF(OR(J131="",K131="",J131=0),"",1-K131/J131)</f>
        <v/>
      </c>
      <c r="S131" s="45" t="str">
        <f aca="false">IF(OR(I131="",M131=""),"",M131-I131)</f>
        <v/>
      </c>
      <c r="T131" s="24" t="str">
        <f aca="false">IF(OR(J131="",O131="",J131=0),"",O131/J131)</f>
        <v/>
      </c>
      <c r="U131" s="46" t="str">
        <f aca="false">IF(OR(J131="",G131="",G131=0),"",J131/G131)</f>
        <v/>
      </c>
      <c r="V131" s="46" t="str">
        <f aca="false">IF(OR(O131="",G131="",G131=0),"",O131/G131)</f>
        <v/>
      </c>
    </row>
    <row r="132" customFormat="false" ht="15" hidden="false" customHeight="false" outlineLevel="0" collapsed="false">
      <c r="A132" s="30"/>
      <c r="B132" s="30"/>
      <c r="C132" s="30"/>
      <c r="D132" s="30"/>
      <c r="E132" s="27"/>
      <c r="F132" s="47"/>
      <c r="G132" s="27"/>
      <c r="H132" s="30"/>
      <c r="I132" s="43"/>
      <c r="J132" s="41"/>
      <c r="K132" s="41"/>
      <c r="L132" s="30"/>
      <c r="M132" s="43"/>
      <c r="N132" s="43"/>
      <c r="O132" s="41"/>
      <c r="P132" s="43"/>
      <c r="Q132" s="30"/>
      <c r="R132" s="24" t="str">
        <f aca="false">IF(OR(J132="",K132="",J132=0),"",1-K132/J132)</f>
        <v/>
      </c>
      <c r="S132" s="45" t="str">
        <f aca="false">IF(OR(I132="",M132=""),"",M132-I132)</f>
        <v/>
      </c>
      <c r="T132" s="24" t="str">
        <f aca="false">IF(OR(J132="",O132="",J132=0),"",O132/J132)</f>
        <v/>
      </c>
      <c r="U132" s="46" t="str">
        <f aca="false">IF(OR(J132="",G132="",G132=0),"",J132/G132)</f>
        <v/>
      </c>
      <c r="V132" s="46" t="str">
        <f aca="false">IF(OR(O132="",G132="",G132=0),"",O132/G132)</f>
        <v/>
      </c>
    </row>
    <row r="133" customFormat="false" ht="15" hidden="false" customHeight="false" outlineLevel="0" collapsed="false">
      <c r="A133" s="30"/>
      <c r="B133" s="30"/>
      <c r="C133" s="30"/>
      <c r="D133" s="30"/>
      <c r="E133" s="27"/>
      <c r="F133" s="47"/>
      <c r="G133" s="27"/>
      <c r="H133" s="30"/>
      <c r="I133" s="43"/>
      <c r="J133" s="41"/>
      <c r="K133" s="41"/>
      <c r="L133" s="30"/>
      <c r="M133" s="43"/>
      <c r="N133" s="43"/>
      <c r="O133" s="41"/>
      <c r="P133" s="43"/>
      <c r="Q133" s="30"/>
      <c r="R133" s="24" t="str">
        <f aca="false">IF(OR(J133="",K133="",J133=0),"",1-K133/J133)</f>
        <v/>
      </c>
      <c r="S133" s="45" t="str">
        <f aca="false">IF(OR(I133="",M133=""),"",M133-I133)</f>
        <v/>
      </c>
      <c r="T133" s="24" t="str">
        <f aca="false">IF(OR(J133="",O133="",J133=0),"",O133/J133)</f>
        <v/>
      </c>
      <c r="U133" s="46" t="str">
        <f aca="false">IF(OR(J133="",G133="",G133=0),"",J133/G133)</f>
        <v/>
      </c>
      <c r="V133" s="46" t="str">
        <f aca="false">IF(OR(O133="",G133="",G133=0),"",O133/G133)</f>
        <v/>
      </c>
    </row>
    <row r="134" customFormat="false" ht="15" hidden="false" customHeight="false" outlineLevel="0" collapsed="false">
      <c r="A134" s="30"/>
      <c r="B134" s="30"/>
      <c r="C134" s="30"/>
      <c r="D134" s="30"/>
      <c r="E134" s="27"/>
      <c r="F134" s="47"/>
      <c r="G134" s="27"/>
      <c r="H134" s="30"/>
      <c r="I134" s="43"/>
      <c r="J134" s="41"/>
      <c r="K134" s="41"/>
      <c r="L134" s="30"/>
      <c r="M134" s="43"/>
      <c r="N134" s="43"/>
      <c r="O134" s="41"/>
      <c r="P134" s="43"/>
      <c r="Q134" s="30"/>
      <c r="R134" s="24" t="str">
        <f aca="false">IF(OR(J134="",K134="",J134=0),"",1-K134/J134)</f>
        <v/>
      </c>
      <c r="S134" s="45" t="str">
        <f aca="false">IF(OR(I134="",M134=""),"",M134-I134)</f>
        <v/>
      </c>
      <c r="T134" s="24" t="str">
        <f aca="false">IF(OR(J134="",O134="",J134=0),"",O134/J134)</f>
        <v/>
      </c>
      <c r="U134" s="46" t="str">
        <f aca="false">IF(OR(J134="",G134="",G134=0),"",J134/G134)</f>
        <v/>
      </c>
      <c r="V134" s="46" t="str">
        <f aca="false">IF(OR(O134="",G134="",G134=0),"",O134/G134)</f>
        <v/>
      </c>
    </row>
    <row r="135" customFormat="false" ht="15" hidden="false" customHeight="false" outlineLevel="0" collapsed="false">
      <c r="A135" s="30"/>
      <c r="B135" s="30"/>
      <c r="C135" s="30"/>
      <c r="D135" s="30"/>
      <c r="E135" s="27"/>
      <c r="F135" s="47"/>
      <c r="G135" s="27"/>
      <c r="H135" s="30"/>
      <c r="I135" s="43"/>
      <c r="J135" s="41"/>
      <c r="K135" s="41"/>
      <c r="L135" s="30"/>
      <c r="M135" s="43"/>
      <c r="N135" s="43"/>
      <c r="O135" s="41"/>
      <c r="P135" s="43"/>
      <c r="Q135" s="30"/>
      <c r="R135" s="24" t="str">
        <f aca="false">IF(OR(J135="",K135="",J135=0),"",1-K135/J135)</f>
        <v/>
      </c>
      <c r="S135" s="45" t="str">
        <f aca="false">IF(OR(I135="",M135=""),"",M135-I135)</f>
        <v/>
      </c>
      <c r="T135" s="24" t="str">
        <f aca="false">IF(OR(J135="",O135="",J135=0),"",O135/J135)</f>
        <v/>
      </c>
      <c r="U135" s="46" t="str">
        <f aca="false">IF(OR(J135="",G135="",G135=0),"",J135/G135)</f>
        <v/>
      </c>
      <c r="V135" s="46" t="str">
        <f aca="false">IF(OR(O135="",G135="",G135=0),"",O135/G135)</f>
        <v/>
      </c>
    </row>
    <row r="136" customFormat="false" ht="15" hidden="false" customHeight="false" outlineLevel="0" collapsed="false">
      <c r="A136" s="30"/>
      <c r="B136" s="30"/>
      <c r="C136" s="30"/>
      <c r="D136" s="30"/>
      <c r="E136" s="27"/>
      <c r="F136" s="47"/>
      <c r="G136" s="27"/>
      <c r="H136" s="30"/>
      <c r="I136" s="43"/>
      <c r="J136" s="41"/>
      <c r="K136" s="41"/>
      <c r="L136" s="30"/>
      <c r="M136" s="43"/>
      <c r="N136" s="43"/>
      <c r="O136" s="41"/>
      <c r="P136" s="43"/>
      <c r="Q136" s="30"/>
      <c r="R136" s="24" t="str">
        <f aca="false">IF(OR(J136="",K136="",J136=0),"",1-K136/J136)</f>
        <v/>
      </c>
      <c r="S136" s="45" t="str">
        <f aca="false">IF(OR(I136="",M136=""),"",M136-I136)</f>
        <v/>
      </c>
      <c r="T136" s="24" t="str">
        <f aca="false">IF(OR(J136="",O136="",J136=0),"",O136/J136)</f>
        <v/>
      </c>
      <c r="U136" s="46" t="str">
        <f aca="false">IF(OR(J136="",G136="",G136=0),"",J136/G136)</f>
        <v/>
      </c>
      <c r="V136" s="46" t="str">
        <f aca="false">IF(OR(O136="",G136="",G136=0),"",O136/G136)</f>
        <v/>
      </c>
    </row>
    <row r="137" customFormat="false" ht="15" hidden="false" customHeight="false" outlineLevel="0" collapsed="false">
      <c r="A137" s="30"/>
      <c r="B137" s="30"/>
      <c r="C137" s="30"/>
      <c r="D137" s="30"/>
      <c r="E137" s="27"/>
      <c r="F137" s="47"/>
      <c r="G137" s="27"/>
      <c r="H137" s="30"/>
      <c r="I137" s="43"/>
      <c r="J137" s="41"/>
      <c r="K137" s="41"/>
      <c r="L137" s="30"/>
      <c r="M137" s="43"/>
      <c r="N137" s="43"/>
      <c r="O137" s="41"/>
      <c r="P137" s="43"/>
      <c r="Q137" s="30"/>
      <c r="R137" s="24" t="str">
        <f aca="false">IF(OR(J137="",K137="",J137=0),"",1-K137/J137)</f>
        <v/>
      </c>
      <c r="S137" s="45" t="str">
        <f aca="false">IF(OR(I137="",M137=""),"",M137-I137)</f>
        <v/>
      </c>
      <c r="T137" s="24" t="str">
        <f aca="false">IF(OR(J137="",O137="",J137=0),"",O137/J137)</f>
        <v/>
      </c>
      <c r="U137" s="46" t="str">
        <f aca="false">IF(OR(J137="",G137="",G137=0),"",J137/G137)</f>
        <v/>
      </c>
      <c r="V137" s="46" t="str">
        <f aca="false">IF(OR(O137="",G137="",G137=0),"",O137/G137)</f>
        <v/>
      </c>
    </row>
    <row r="138" customFormat="false" ht="15" hidden="false" customHeight="false" outlineLevel="0" collapsed="false">
      <c r="A138" s="30"/>
      <c r="B138" s="30"/>
      <c r="C138" s="30"/>
      <c r="D138" s="30"/>
      <c r="E138" s="27"/>
      <c r="F138" s="47"/>
      <c r="G138" s="27"/>
      <c r="H138" s="30"/>
      <c r="I138" s="43"/>
      <c r="J138" s="41"/>
      <c r="K138" s="41"/>
      <c r="L138" s="30"/>
      <c r="M138" s="43"/>
      <c r="N138" s="43"/>
      <c r="O138" s="41"/>
      <c r="P138" s="43"/>
      <c r="Q138" s="30"/>
      <c r="R138" s="24" t="str">
        <f aca="false">IF(OR(J138="",K138="",J138=0),"",1-K138/J138)</f>
        <v/>
      </c>
      <c r="S138" s="45" t="str">
        <f aca="false">IF(OR(I138="",M138=""),"",M138-I138)</f>
        <v/>
      </c>
      <c r="T138" s="24" t="str">
        <f aca="false">IF(OR(J138="",O138="",J138=0),"",O138/J138)</f>
        <v/>
      </c>
      <c r="U138" s="46" t="str">
        <f aca="false">IF(OR(J138="",G138="",G138=0),"",J138/G138)</f>
        <v/>
      </c>
      <c r="V138" s="46" t="str">
        <f aca="false">IF(OR(O138="",G138="",G138=0),"",O138/G138)</f>
        <v/>
      </c>
    </row>
    <row r="139" customFormat="false" ht="15" hidden="false" customHeight="false" outlineLevel="0" collapsed="false">
      <c r="A139" s="30"/>
      <c r="B139" s="30"/>
      <c r="C139" s="30"/>
      <c r="D139" s="30"/>
      <c r="E139" s="27"/>
      <c r="F139" s="47"/>
      <c r="G139" s="27"/>
      <c r="H139" s="30"/>
      <c r="I139" s="43"/>
      <c r="J139" s="41"/>
      <c r="K139" s="41"/>
      <c r="L139" s="30"/>
      <c r="M139" s="43"/>
      <c r="N139" s="43"/>
      <c r="O139" s="41"/>
      <c r="P139" s="43"/>
      <c r="Q139" s="30"/>
      <c r="R139" s="24" t="str">
        <f aca="false">IF(OR(J139="",K139="",J139=0),"",1-K139/J139)</f>
        <v/>
      </c>
      <c r="S139" s="45" t="str">
        <f aca="false">IF(OR(I139="",M139=""),"",M139-I139)</f>
        <v/>
      </c>
      <c r="T139" s="24" t="str">
        <f aca="false">IF(OR(J139="",O139="",J139=0),"",O139/J139)</f>
        <v/>
      </c>
      <c r="U139" s="46" t="str">
        <f aca="false">IF(OR(J139="",G139="",G139=0),"",J139/G139)</f>
        <v/>
      </c>
      <c r="V139" s="46" t="str">
        <f aca="false">IF(OR(O139="",G139="",G139=0),"",O139/G139)</f>
        <v/>
      </c>
    </row>
    <row r="140" customFormat="false" ht="15" hidden="false" customHeight="false" outlineLevel="0" collapsed="false">
      <c r="A140" s="30"/>
      <c r="B140" s="30"/>
      <c r="C140" s="30"/>
      <c r="D140" s="30"/>
      <c r="E140" s="27"/>
      <c r="F140" s="47"/>
      <c r="G140" s="27"/>
      <c r="H140" s="30"/>
      <c r="I140" s="43"/>
      <c r="J140" s="41"/>
      <c r="K140" s="41"/>
      <c r="L140" s="30"/>
      <c r="M140" s="43"/>
      <c r="N140" s="43"/>
      <c r="O140" s="41"/>
      <c r="P140" s="43"/>
      <c r="Q140" s="30"/>
      <c r="R140" s="24" t="str">
        <f aca="false">IF(OR(J140="",K140="",J140=0),"",1-K140/J140)</f>
        <v/>
      </c>
      <c r="S140" s="45" t="str">
        <f aca="false">IF(OR(I140="",M140=""),"",M140-I140)</f>
        <v/>
      </c>
      <c r="T140" s="24" t="str">
        <f aca="false">IF(OR(J140="",O140="",J140=0),"",O140/J140)</f>
        <v/>
      </c>
      <c r="U140" s="46" t="str">
        <f aca="false">IF(OR(J140="",G140="",G140=0),"",J140/G140)</f>
        <v/>
      </c>
      <c r="V140" s="46" t="str">
        <f aca="false">IF(OR(O140="",G140="",G140=0),"",O140/G140)</f>
        <v/>
      </c>
    </row>
    <row r="141" customFormat="false" ht="15" hidden="false" customHeight="false" outlineLevel="0" collapsed="false">
      <c r="A141" s="30"/>
      <c r="B141" s="30"/>
      <c r="C141" s="30"/>
      <c r="D141" s="30"/>
      <c r="E141" s="27"/>
      <c r="F141" s="47"/>
      <c r="G141" s="27"/>
      <c r="H141" s="30"/>
      <c r="I141" s="43"/>
      <c r="J141" s="41"/>
      <c r="K141" s="41"/>
      <c r="L141" s="30"/>
      <c r="M141" s="43"/>
      <c r="N141" s="43"/>
      <c r="O141" s="41"/>
      <c r="P141" s="43"/>
      <c r="Q141" s="30"/>
      <c r="R141" s="24" t="str">
        <f aca="false">IF(OR(J141="",K141="",J141=0),"",1-K141/J141)</f>
        <v/>
      </c>
      <c r="S141" s="45" t="str">
        <f aca="false">IF(OR(I141="",M141=""),"",M141-I141)</f>
        <v/>
      </c>
      <c r="T141" s="24" t="str">
        <f aca="false">IF(OR(J141="",O141="",J141=0),"",O141/J141)</f>
        <v/>
      </c>
      <c r="U141" s="46" t="str">
        <f aca="false">IF(OR(J141="",G141="",G141=0),"",J141/G141)</f>
        <v/>
      </c>
      <c r="V141" s="46" t="str">
        <f aca="false">IF(OR(O141="",G141="",G141=0),"",O141/G141)</f>
        <v/>
      </c>
    </row>
    <row r="142" customFormat="false" ht="15" hidden="false" customHeight="false" outlineLevel="0" collapsed="false">
      <c r="A142" s="30"/>
      <c r="B142" s="30"/>
      <c r="C142" s="30"/>
      <c r="D142" s="30"/>
      <c r="E142" s="27"/>
      <c r="F142" s="47"/>
      <c r="G142" s="27"/>
      <c r="H142" s="30"/>
      <c r="I142" s="43"/>
      <c r="J142" s="41"/>
      <c r="K142" s="41"/>
      <c r="L142" s="30"/>
      <c r="M142" s="43"/>
      <c r="N142" s="43"/>
      <c r="O142" s="41"/>
      <c r="P142" s="43"/>
      <c r="Q142" s="30"/>
      <c r="R142" s="24" t="str">
        <f aca="false">IF(OR(J142="",K142="",J142=0),"",1-K142/J142)</f>
        <v/>
      </c>
      <c r="S142" s="45" t="str">
        <f aca="false">IF(OR(I142="",M142=""),"",M142-I142)</f>
        <v/>
      </c>
      <c r="T142" s="24" t="str">
        <f aca="false">IF(OR(J142="",O142="",J142=0),"",O142/J142)</f>
        <v/>
      </c>
      <c r="U142" s="46" t="str">
        <f aca="false">IF(OR(J142="",G142="",G142=0),"",J142/G142)</f>
        <v/>
      </c>
      <c r="V142" s="46" t="str">
        <f aca="false">IF(OR(O142="",G142="",G142=0),"",O142/G142)</f>
        <v/>
      </c>
    </row>
    <row r="143" customFormat="false" ht="15" hidden="false" customHeight="false" outlineLevel="0" collapsed="false">
      <c r="A143" s="30"/>
      <c r="B143" s="30"/>
      <c r="C143" s="30"/>
      <c r="D143" s="30"/>
      <c r="E143" s="27"/>
      <c r="F143" s="47"/>
      <c r="G143" s="27"/>
      <c r="H143" s="30"/>
      <c r="I143" s="43"/>
      <c r="J143" s="41"/>
      <c r="K143" s="41"/>
      <c r="L143" s="30"/>
      <c r="M143" s="43"/>
      <c r="N143" s="43"/>
      <c r="O143" s="41"/>
      <c r="P143" s="43"/>
      <c r="Q143" s="30"/>
      <c r="R143" s="24" t="str">
        <f aca="false">IF(OR(J143="",K143="",J143=0),"",1-K143/J143)</f>
        <v/>
      </c>
      <c r="S143" s="45" t="str">
        <f aca="false">IF(OR(I143="",M143=""),"",M143-I143)</f>
        <v/>
      </c>
      <c r="T143" s="24" t="str">
        <f aca="false">IF(OR(J143="",O143="",J143=0),"",O143/J143)</f>
        <v/>
      </c>
      <c r="U143" s="46" t="str">
        <f aca="false">IF(OR(J143="",G143="",G143=0),"",J143/G143)</f>
        <v/>
      </c>
      <c r="V143" s="46" t="str">
        <f aca="false">IF(OR(O143="",G143="",G143=0),"",O143/G143)</f>
        <v/>
      </c>
    </row>
    <row r="144" customFormat="false" ht="15" hidden="false" customHeight="false" outlineLevel="0" collapsed="false">
      <c r="A144" s="30"/>
      <c r="B144" s="30"/>
      <c r="C144" s="30"/>
      <c r="D144" s="30"/>
      <c r="E144" s="27"/>
      <c r="F144" s="47"/>
      <c r="G144" s="27"/>
      <c r="H144" s="30"/>
      <c r="I144" s="43"/>
      <c r="J144" s="41"/>
      <c r="K144" s="41"/>
      <c r="L144" s="30"/>
      <c r="M144" s="43"/>
      <c r="N144" s="43"/>
      <c r="O144" s="41"/>
      <c r="P144" s="43"/>
      <c r="Q144" s="30"/>
      <c r="R144" s="24" t="str">
        <f aca="false">IF(OR(J144="",K144="",J144=0),"",1-K144/J144)</f>
        <v/>
      </c>
      <c r="S144" s="45" t="str">
        <f aca="false">IF(OR(I144="",M144=""),"",M144-I144)</f>
        <v/>
      </c>
      <c r="T144" s="24" t="str">
        <f aca="false">IF(OR(J144="",O144="",J144=0),"",O144/J144)</f>
        <v/>
      </c>
      <c r="U144" s="46" t="str">
        <f aca="false">IF(OR(J144="",G144="",G144=0),"",J144/G144)</f>
        <v/>
      </c>
      <c r="V144" s="46" t="str">
        <f aca="false">IF(OR(O144="",G144="",G144=0),"",O144/G144)</f>
        <v/>
      </c>
    </row>
    <row r="145" customFormat="false" ht="15" hidden="false" customHeight="false" outlineLevel="0" collapsed="false">
      <c r="A145" s="30"/>
      <c r="B145" s="30"/>
      <c r="C145" s="30"/>
      <c r="D145" s="30"/>
      <c r="E145" s="27"/>
      <c r="F145" s="47"/>
      <c r="G145" s="27"/>
      <c r="H145" s="30"/>
      <c r="I145" s="43"/>
      <c r="J145" s="41"/>
      <c r="K145" s="41"/>
      <c r="L145" s="30"/>
      <c r="M145" s="43"/>
      <c r="N145" s="43"/>
      <c r="O145" s="41"/>
      <c r="P145" s="43"/>
      <c r="Q145" s="30"/>
      <c r="R145" s="24" t="str">
        <f aca="false">IF(OR(J145="",K145="",J145=0),"",1-K145/J145)</f>
        <v/>
      </c>
      <c r="S145" s="45" t="str">
        <f aca="false">IF(OR(I145="",M145=""),"",M145-I145)</f>
        <v/>
      </c>
      <c r="T145" s="24" t="str">
        <f aca="false">IF(OR(J145="",O145="",J145=0),"",O145/J145)</f>
        <v/>
      </c>
      <c r="U145" s="46" t="str">
        <f aca="false">IF(OR(J145="",G145="",G145=0),"",J145/G145)</f>
        <v/>
      </c>
      <c r="V145" s="46" t="str">
        <f aca="false">IF(OR(O145="",G145="",G145=0),"",O145/G145)</f>
        <v/>
      </c>
    </row>
    <row r="146" customFormat="false" ht="15" hidden="false" customHeight="false" outlineLevel="0" collapsed="false">
      <c r="A146" s="30"/>
      <c r="B146" s="30"/>
      <c r="C146" s="30"/>
      <c r="D146" s="30"/>
      <c r="E146" s="27"/>
      <c r="F146" s="47"/>
      <c r="G146" s="27"/>
      <c r="H146" s="30"/>
      <c r="I146" s="43"/>
      <c r="J146" s="41"/>
      <c r="K146" s="41"/>
      <c r="L146" s="30"/>
      <c r="M146" s="43"/>
      <c r="N146" s="43"/>
      <c r="O146" s="41"/>
      <c r="P146" s="43"/>
      <c r="Q146" s="30"/>
      <c r="R146" s="24" t="str">
        <f aca="false">IF(OR(J146="",K146="",J146=0),"",1-K146/J146)</f>
        <v/>
      </c>
      <c r="S146" s="45" t="str">
        <f aca="false">IF(OR(I146="",M146=""),"",M146-I146)</f>
        <v/>
      </c>
      <c r="T146" s="24" t="str">
        <f aca="false">IF(OR(J146="",O146="",J146=0),"",O146/J146)</f>
        <v/>
      </c>
      <c r="U146" s="46" t="str">
        <f aca="false">IF(OR(J146="",G146="",G146=0),"",J146/G146)</f>
        <v/>
      </c>
      <c r="V146" s="46" t="str">
        <f aca="false">IF(OR(O146="",G146="",G146=0),"",O146/G146)</f>
        <v/>
      </c>
    </row>
    <row r="147" customFormat="false" ht="15" hidden="false" customHeight="false" outlineLevel="0" collapsed="false">
      <c r="A147" s="30"/>
      <c r="B147" s="30"/>
      <c r="C147" s="30"/>
      <c r="D147" s="30"/>
      <c r="E147" s="27"/>
      <c r="F147" s="47"/>
      <c r="G147" s="27"/>
      <c r="H147" s="30"/>
      <c r="I147" s="43"/>
      <c r="J147" s="41"/>
      <c r="K147" s="41"/>
      <c r="L147" s="30"/>
      <c r="M147" s="43"/>
      <c r="N147" s="43"/>
      <c r="O147" s="41"/>
      <c r="P147" s="43"/>
      <c r="Q147" s="30"/>
      <c r="R147" s="24" t="str">
        <f aca="false">IF(OR(J147="",K147="",J147=0),"",1-K147/J147)</f>
        <v/>
      </c>
      <c r="S147" s="45" t="str">
        <f aca="false">IF(OR(I147="",M147=""),"",M147-I147)</f>
        <v/>
      </c>
      <c r="T147" s="24" t="str">
        <f aca="false">IF(OR(J147="",O147="",J147=0),"",O147/J147)</f>
        <v/>
      </c>
      <c r="U147" s="46" t="str">
        <f aca="false">IF(OR(J147="",G147="",G147=0),"",J147/G147)</f>
        <v/>
      </c>
      <c r="V147" s="46" t="str">
        <f aca="false">IF(OR(O147="",G147="",G147=0),"",O147/G147)</f>
        <v/>
      </c>
    </row>
    <row r="148" customFormat="false" ht="15" hidden="false" customHeight="false" outlineLevel="0" collapsed="false">
      <c r="A148" s="30"/>
      <c r="B148" s="30"/>
      <c r="C148" s="30"/>
      <c r="D148" s="30"/>
      <c r="E148" s="27"/>
      <c r="F148" s="47"/>
      <c r="G148" s="27"/>
      <c r="H148" s="30"/>
      <c r="I148" s="43"/>
      <c r="J148" s="41"/>
      <c r="K148" s="41"/>
      <c r="L148" s="30"/>
      <c r="M148" s="43"/>
      <c r="N148" s="43"/>
      <c r="O148" s="41"/>
      <c r="P148" s="43"/>
      <c r="Q148" s="30"/>
      <c r="R148" s="24" t="str">
        <f aca="false">IF(OR(J148="",K148="",J148=0),"",1-K148/J148)</f>
        <v/>
      </c>
      <c r="S148" s="45" t="str">
        <f aca="false">IF(OR(I148="",M148=""),"",M148-I148)</f>
        <v/>
      </c>
      <c r="T148" s="24" t="str">
        <f aca="false">IF(OR(J148="",O148="",J148=0),"",O148/J148)</f>
        <v/>
      </c>
      <c r="U148" s="46" t="str">
        <f aca="false">IF(OR(J148="",G148="",G148=0),"",J148/G148)</f>
        <v/>
      </c>
      <c r="V148" s="46" t="str">
        <f aca="false">IF(OR(O148="",G148="",G148=0),"",O148/G148)</f>
        <v/>
      </c>
    </row>
    <row r="149" customFormat="false" ht="15" hidden="false" customHeight="false" outlineLevel="0" collapsed="false">
      <c r="A149" s="30"/>
      <c r="B149" s="30"/>
      <c r="C149" s="30"/>
      <c r="D149" s="30"/>
      <c r="E149" s="27"/>
      <c r="F149" s="47"/>
      <c r="G149" s="27"/>
      <c r="H149" s="30"/>
      <c r="I149" s="43"/>
      <c r="J149" s="41"/>
      <c r="K149" s="41"/>
      <c r="L149" s="30"/>
      <c r="M149" s="43"/>
      <c r="N149" s="43"/>
      <c r="O149" s="41"/>
      <c r="P149" s="43"/>
      <c r="Q149" s="30"/>
      <c r="R149" s="24" t="str">
        <f aca="false">IF(OR(J149="",K149="",J149=0),"",1-K149/J149)</f>
        <v/>
      </c>
      <c r="S149" s="45" t="str">
        <f aca="false">IF(OR(I149="",M149=""),"",M149-I149)</f>
        <v/>
      </c>
      <c r="T149" s="24" t="str">
        <f aca="false">IF(OR(J149="",O149="",J149=0),"",O149/J149)</f>
        <v/>
      </c>
      <c r="U149" s="46" t="str">
        <f aca="false">IF(OR(J149="",G149="",G149=0),"",J149/G149)</f>
        <v/>
      </c>
      <c r="V149" s="46" t="str">
        <f aca="false">IF(OR(O149="",G149="",G149=0),"",O149/G149)</f>
        <v/>
      </c>
    </row>
    <row r="150" customFormat="false" ht="15" hidden="false" customHeight="false" outlineLevel="0" collapsed="false">
      <c r="A150" s="30"/>
      <c r="B150" s="30"/>
      <c r="C150" s="30"/>
      <c r="D150" s="30"/>
      <c r="E150" s="27"/>
      <c r="F150" s="47"/>
      <c r="G150" s="27"/>
      <c r="H150" s="30"/>
      <c r="I150" s="43"/>
      <c r="J150" s="41"/>
      <c r="K150" s="41"/>
      <c r="L150" s="30"/>
      <c r="M150" s="43"/>
      <c r="N150" s="43"/>
      <c r="O150" s="41"/>
      <c r="P150" s="43"/>
      <c r="Q150" s="30"/>
      <c r="R150" s="24" t="str">
        <f aca="false">IF(OR(J150="",K150="",J150=0),"",1-K150/J150)</f>
        <v/>
      </c>
      <c r="S150" s="45" t="str">
        <f aca="false">IF(OR(I150="",M150=""),"",M150-I150)</f>
        <v/>
      </c>
      <c r="T150" s="24" t="str">
        <f aca="false">IF(OR(J150="",O150="",J150=0),"",O150/J150)</f>
        <v/>
      </c>
      <c r="U150" s="46" t="str">
        <f aca="false">IF(OR(J150="",G150="",G150=0),"",J150/G150)</f>
        <v/>
      </c>
      <c r="V150" s="46" t="str">
        <f aca="false">IF(OR(O150="",G150="",G150=0),"",O150/G150)</f>
        <v/>
      </c>
    </row>
    <row r="151" customFormat="false" ht="15" hidden="false" customHeight="false" outlineLevel="0" collapsed="false">
      <c r="A151" s="30"/>
      <c r="B151" s="30"/>
      <c r="C151" s="30"/>
      <c r="D151" s="30"/>
      <c r="E151" s="27"/>
      <c r="F151" s="47"/>
      <c r="G151" s="27"/>
      <c r="H151" s="30"/>
      <c r="I151" s="43"/>
      <c r="J151" s="41"/>
      <c r="K151" s="41"/>
      <c r="L151" s="30"/>
      <c r="M151" s="43"/>
      <c r="N151" s="43"/>
      <c r="O151" s="41"/>
      <c r="P151" s="43"/>
      <c r="Q151" s="30"/>
      <c r="R151" s="24" t="str">
        <f aca="false">IF(OR(J151="",K151="",J151=0),"",1-K151/J151)</f>
        <v/>
      </c>
      <c r="S151" s="45" t="str">
        <f aca="false">IF(OR(I151="",M151=""),"",M151-I151)</f>
        <v/>
      </c>
      <c r="T151" s="24" t="str">
        <f aca="false">IF(OR(J151="",O151="",J151=0),"",O151/J151)</f>
        <v/>
      </c>
      <c r="U151" s="46" t="str">
        <f aca="false">IF(OR(J151="",G151="",G151=0),"",J151/G151)</f>
        <v/>
      </c>
      <c r="V151" s="46" t="str">
        <f aca="false">IF(OR(O151="",G151="",G151=0),"",O151/G151)</f>
        <v/>
      </c>
    </row>
    <row r="152" customFormat="false" ht="15" hidden="false" customHeight="false" outlineLevel="0" collapsed="false">
      <c r="A152" s="30"/>
      <c r="B152" s="30"/>
      <c r="C152" s="30"/>
      <c r="D152" s="30"/>
      <c r="E152" s="27"/>
      <c r="F152" s="47"/>
      <c r="G152" s="27"/>
      <c r="H152" s="30"/>
      <c r="I152" s="43"/>
      <c r="J152" s="41"/>
      <c r="K152" s="41"/>
      <c r="L152" s="30"/>
      <c r="M152" s="43"/>
      <c r="N152" s="43"/>
      <c r="O152" s="41"/>
      <c r="P152" s="43"/>
      <c r="Q152" s="30"/>
      <c r="R152" s="24" t="str">
        <f aca="false">IF(OR(J152="",K152="",J152=0),"",1-K152/J152)</f>
        <v/>
      </c>
      <c r="S152" s="45" t="str">
        <f aca="false">IF(OR(I152="",M152=""),"",M152-I152)</f>
        <v/>
      </c>
      <c r="T152" s="24" t="str">
        <f aca="false">IF(OR(J152="",O152="",J152=0),"",O152/J152)</f>
        <v/>
      </c>
      <c r="U152" s="46" t="str">
        <f aca="false">IF(OR(J152="",G152="",G152=0),"",J152/G152)</f>
        <v/>
      </c>
      <c r="V152" s="46" t="str">
        <f aca="false">IF(OR(O152="",G152="",G152=0),"",O152/G152)</f>
        <v/>
      </c>
    </row>
    <row r="153" customFormat="false" ht="15" hidden="false" customHeight="false" outlineLevel="0" collapsed="false">
      <c r="A153" s="30"/>
      <c r="B153" s="30"/>
      <c r="C153" s="30"/>
      <c r="D153" s="30"/>
      <c r="E153" s="27"/>
      <c r="F153" s="47"/>
      <c r="G153" s="27"/>
      <c r="H153" s="30"/>
      <c r="I153" s="43"/>
      <c r="J153" s="41"/>
      <c r="K153" s="41"/>
      <c r="L153" s="30"/>
      <c r="M153" s="43"/>
      <c r="N153" s="43"/>
      <c r="O153" s="41"/>
      <c r="P153" s="43"/>
      <c r="Q153" s="30"/>
      <c r="R153" s="24" t="str">
        <f aca="false">IF(OR(J153="",K153="",J153=0),"",1-K153/J153)</f>
        <v/>
      </c>
      <c r="S153" s="45" t="str">
        <f aca="false">IF(OR(I153="",M153=""),"",M153-I153)</f>
        <v/>
      </c>
      <c r="T153" s="24" t="str">
        <f aca="false">IF(OR(J153="",O153="",J153=0),"",O153/J153)</f>
        <v/>
      </c>
      <c r="U153" s="46" t="str">
        <f aca="false">IF(OR(J153="",G153="",G153=0),"",J153/G153)</f>
        <v/>
      </c>
      <c r="V153" s="46" t="str">
        <f aca="false">IF(OR(O153="",G153="",G153=0),"",O153/G153)</f>
        <v/>
      </c>
    </row>
    <row r="154" customFormat="false" ht="15" hidden="false" customHeight="false" outlineLevel="0" collapsed="false">
      <c r="A154" s="30"/>
      <c r="B154" s="30"/>
      <c r="C154" s="30"/>
      <c r="D154" s="30"/>
      <c r="E154" s="27"/>
      <c r="F154" s="47"/>
      <c r="G154" s="27"/>
      <c r="H154" s="30"/>
      <c r="I154" s="43"/>
      <c r="J154" s="41"/>
      <c r="K154" s="41"/>
      <c r="L154" s="30"/>
      <c r="M154" s="43"/>
      <c r="N154" s="43"/>
      <c r="O154" s="41"/>
      <c r="P154" s="43"/>
      <c r="Q154" s="30"/>
      <c r="R154" s="24" t="str">
        <f aca="false">IF(OR(J154="",K154="",J154=0),"",1-K154/J154)</f>
        <v/>
      </c>
      <c r="S154" s="45" t="str">
        <f aca="false">IF(OR(I154="",M154=""),"",M154-I154)</f>
        <v/>
      </c>
      <c r="T154" s="24" t="str">
        <f aca="false">IF(OR(J154="",O154="",J154=0),"",O154/J154)</f>
        <v/>
      </c>
      <c r="U154" s="46" t="str">
        <f aca="false">IF(OR(J154="",G154="",G154=0),"",J154/G154)</f>
        <v/>
      </c>
      <c r="V154" s="46" t="str">
        <f aca="false">IF(OR(O154="",G154="",G154=0),"",O154/G154)</f>
        <v/>
      </c>
    </row>
    <row r="155" customFormat="false" ht="15" hidden="false" customHeight="false" outlineLevel="0" collapsed="false">
      <c r="A155" s="30"/>
      <c r="B155" s="30"/>
      <c r="C155" s="30"/>
      <c r="D155" s="30"/>
      <c r="E155" s="27"/>
      <c r="F155" s="47"/>
      <c r="G155" s="27"/>
      <c r="H155" s="30"/>
      <c r="I155" s="43"/>
      <c r="J155" s="41"/>
      <c r="K155" s="41"/>
      <c r="L155" s="30"/>
      <c r="M155" s="43"/>
      <c r="N155" s="43"/>
      <c r="O155" s="41"/>
      <c r="P155" s="43"/>
      <c r="Q155" s="30"/>
      <c r="R155" s="24" t="str">
        <f aca="false">IF(OR(J155="",K155="",J155=0),"",1-K155/J155)</f>
        <v/>
      </c>
      <c r="S155" s="45" t="str">
        <f aca="false">IF(OR(I155="",M155=""),"",M155-I155)</f>
        <v/>
      </c>
      <c r="T155" s="24" t="str">
        <f aca="false">IF(OR(J155="",O155="",J155=0),"",O155/J155)</f>
        <v/>
      </c>
      <c r="U155" s="46" t="str">
        <f aca="false">IF(OR(J155="",G155="",G155=0),"",J155/G155)</f>
        <v/>
      </c>
      <c r="V155" s="46" t="str">
        <f aca="false">IF(OR(O155="",G155="",G155=0),"",O155/G155)</f>
        <v/>
      </c>
    </row>
    <row r="156" customFormat="false" ht="15" hidden="false" customHeight="false" outlineLevel="0" collapsed="false">
      <c r="A156" s="30"/>
      <c r="B156" s="30"/>
      <c r="C156" s="30"/>
      <c r="D156" s="30"/>
      <c r="E156" s="27"/>
      <c r="F156" s="47"/>
      <c r="G156" s="27"/>
      <c r="H156" s="30"/>
      <c r="I156" s="43"/>
      <c r="J156" s="41"/>
      <c r="K156" s="41"/>
      <c r="L156" s="30"/>
      <c r="M156" s="43"/>
      <c r="N156" s="43"/>
      <c r="O156" s="41"/>
      <c r="P156" s="43"/>
      <c r="Q156" s="30"/>
      <c r="R156" s="24" t="str">
        <f aca="false">IF(OR(J156="",K156="",J156=0),"",1-K156/J156)</f>
        <v/>
      </c>
      <c r="S156" s="45" t="str">
        <f aca="false">IF(OR(I156="",M156=""),"",M156-I156)</f>
        <v/>
      </c>
      <c r="T156" s="24" t="str">
        <f aca="false">IF(OR(J156="",O156="",J156=0),"",O156/J156)</f>
        <v/>
      </c>
      <c r="U156" s="46" t="str">
        <f aca="false">IF(OR(J156="",G156="",G156=0),"",J156/G156)</f>
        <v/>
      </c>
      <c r="V156" s="46" t="str">
        <f aca="false">IF(OR(O156="",G156="",G156=0),"",O156/G156)</f>
        <v/>
      </c>
    </row>
    <row r="157" customFormat="false" ht="15" hidden="false" customHeight="false" outlineLevel="0" collapsed="false">
      <c r="A157" s="30"/>
      <c r="B157" s="30"/>
      <c r="C157" s="30"/>
      <c r="D157" s="30"/>
      <c r="E157" s="27"/>
      <c r="F157" s="47"/>
      <c r="G157" s="27"/>
      <c r="H157" s="30"/>
      <c r="I157" s="43"/>
      <c r="J157" s="41"/>
      <c r="K157" s="41"/>
      <c r="L157" s="30"/>
      <c r="M157" s="43"/>
      <c r="N157" s="43"/>
      <c r="O157" s="41"/>
      <c r="P157" s="43"/>
      <c r="Q157" s="30"/>
      <c r="R157" s="24" t="str">
        <f aca="false">IF(OR(J157="",K157="",J157=0),"",1-K157/J157)</f>
        <v/>
      </c>
      <c r="S157" s="45" t="str">
        <f aca="false">IF(OR(I157="",M157=""),"",M157-I157)</f>
        <v/>
      </c>
      <c r="T157" s="24" t="str">
        <f aca="false">IF(OR(J157="",O157="",J157=0),"",O157/J157)</f>
        <v/>
      </c>
      <c r="U157" s="46" t="str">
        <f aca="false">IF(OR(J157="",G157="",G157=0),"",J157/G157)</f>
        <v/>
      </c>
      <c r="V157" s="46" t="str">
        <f aca="false">IF(OR(O157="",G157="",G157=0),"",O157/G157)</f>
        <v/>
      </c>
    </row>
    <row r="158" customFormat="false" ht="15" hidden="false" customHeight="false" outlineLevel="0" collapsed="false">
      <c r="A158" s="30"/>
      <c r="B158" s="30"/>
      <c r="C158" s="30"/>
      <c r="D158" s="30"/>
      <c r="E158" s="27"/>
      <c r="F158" s="47"/>
      <c r="G158" s="27"/>
      <c r="H158" s="30"/>
      <c r="I158" s="43"/>
      <c r="J158" s="41"/>
      <c r="K158" s="41"/>
      <c r="L158" s="30"/>
      <c r="M158" s="43"/>
      <c r="N158" s="43"/>
      <c r="O158" s="41"/>
      <c r="P158" s="43"/>
      <c r="Q158" s="30"/>
      <c r="R158" s="24" t="str">
        <f aca="false">IF(OR(J158="",K158="",J158=0),"",1-K158/J158)</f>
        <v/>
      </c>
      <c r="S158" s="45" t="str">
        <f aca="false">IF(OR(I158="",M158=""),"",M158-I158)</f>
        <v/>
      </c>
      <c r="T158" s="24" t="str">
        <f aca="false">IF(OR(J158="",O158="",J158=0),"",O158/J158)</f>
        <v/>
      </c>
      <c r="U158" s="46" t="str">
        <f aca="false">IF(OR(J158="",G158="",G158=0),"",J158/G158)</f>
        <v/>
      </c>
      <c r="V158" s="46" t="str">
        <f aca="false">IF(OR(O158="",G158="",G158=0),"",O158/G158)</f>
        <v/>
      </c>
    </row>
    <row r="159" customFormat="false" ht="15" hidden="false" customHeight="false" outlineLevel="0" collapsed="false">
      <c r="A159" s="30"/>
      <c r="B159" s="30"/>
      <c r="C159" s="30"/>
      <c r="D159" s="30"/>
      <c r="E159" s="27"/>
      <c r="F159" s="47"/>
      <c r="G159" s="27"/>
      <c r="H159" s="30"/>
      <c r="I159" s="43"/>
      <c r="J159" s="41"/>
      <c r="K159" s="41"/>
      <c r="L159" s="30"/>
      <c r="M159" s="43"/>
      <c r="N159" s="43"/>
      <c r="O159" s="41"/>
      <c r="P159" s="43"/>
      <c r="Q159" s="30"/>
      <c r="R159" s="24" t="str">
        <f aca="false">IF(OR(J159="",K159="",J159=0),"",1-K159/J159)</f>
        <v/>
      </c>
      <c r="S159" s="45" t="str">
        <f aca="false">IF(OR(I159="",M159=""),"",M159-I159)</f>
        <v/>
      </c>
      <c r="T159" s="24" t="str">
        <f aca="false">IF(OR(J159="",O159="",J159=0),"",O159/J159)</f>
        <v/>
      </c>
      <c r="U159" s="46" t="str">
        <f aca="false">IF(OR(J159="",G159="",G159=0),"",J159/G159)</f>
        <v/>
      </c>
      <c r="V159" s="46" t="str">
        <f aca="false">IF(OR(O159="",G159="",G159=0),"",O159/G159)</f>
        <v/>
      </c>
    </row>
    <row r="160" customFormat="false" ht="15" hidden="false" customHeight="false" outlineLevel="0" collapsed="false">
      <c r="A160" s="30"/>
      <c r="B160" s="30"/>
      <c r="C160" s="30"/>
      <c r="D160" s="30"/>
      <c r="E160" s="27"/>
      <c r="F160" s="47"/>
      <c r="G160" s="27"/>
      <c r="H160" s="30"/>
      <c r="I160" s="43"/>
      <c r="J160" s="41"/>
      <c r="K160" s="41"/>
      <c r="L160" s="30"/>
      <c r="M160" s="43"/>
      <c r="N160" s="43"/>
      <c r="O160" s="41"/>
      <c r="P160" s="43"/>
      <c r="Q160" s="30"/>
      <c r="R160" s="24" t="str">
        <f aca="false">IF(OR(J160="",K160="",J160=0),"",1-K160/J160)</f>
        <v/>
      </c>
      <c r="S160" s="45" t="str">
        <f aca="false">IF(OR(I160="",M160=""),"",M160-I160)</f>
        <v/>
      </c>
      <c r="T160" s="24" t="str">
        <f aca="false">IF(OR(J160="",O160="",J160=0),"",O160/J160)</f>
        <v/>
      </c>
      <c r="U160" s="46" t="str">
        <f aca="false">IF(OR(J160="",G160="",G160=0),"",J160/G160)</f>
        <v/>
      </c>
      <c r="V160" s="46" t="str">
        <f aca="false">IF(OR(O160="",G160="",G160=0),"",O160/G160)</f>
        <v/>
      </c>
    </row>
    <row r="161" customFormat="false" ht="15" hidden="false" customHeight="false" outlineLevel="0" collapsed="false">
      <c r="A161" s="30"/>
      <c r="B161" s="30"/>
      <c r="C161" s="30"/>
      <c r="D161" s="30"/>
      <c r="E161" s="27"/>
      <c r="F161" s="47"/>
      <c r="G161" s="27"/>
      <c r="H161" s="30"/>
      <c r="I161" s="43"/>
      <c r="J161" s="41"/>
      <c r="K161" s="41"/>
      <c r="L161" s="30"/>
      <c r="M161" s="43"/>
      <c r="N161" s="43"/>
      <c r="O161" s="41"/>
      <c r="P161" s="43"/>
      <c r="Q161" s="30"/>
      <c r="R161" s="24" t="str">
        <f aca="false">IF(OR(J161="",K161="",J161=0),"",1-K161/J161)</f>
        <v/>
      </c>
      <c r="S161" s="45" t="str">
        <f aca="false">IF(OR(I161="",M161=""),"",M161-I161)</f>
        <v/>
      </c>
      <c r="T161" s="24" t="str">
        <f aca="false">IF(OR(J161="",O161="",J161=0),"",O161/J161)</f>
        <v/>
      </c>
      <c r="U161" s="46" t="str">
        <f aca="false">IF(OR(J161="",G161="",G161=0),"",J161/G161)</f>
        <v/>
      </c>
      <c r="V161" s="46" t="str">
        <f aca="false">IF(OR(O161="",G161="",G161=0),"",O161/G161)</f>
        <v/>
      </c>
    </row>
    <row r="162" customFormat="false" ht="15" hidden="false" customHeight="false" outlineLevel="0" collapsed="false">
      <c r="A162" s="30"/>
      <c r="B162" s="30"/>
      <c r="C162" s="30"/>
      <c r="D162" s="30"/>
      <c r="E162" s="27"/>
      <c r="F162" s="47"/>
      <c r="G162" s="27"/>
      <c r="H162" s="30"/>
      <c r="I162" s="43"/>
      <c r="J162" s="41"/>
      <c r="K162" s="41"/>
      <c r="L162" s="30"/>
      <c r="M162" s="43"/>
      <c r="N162" s="43"/>
      <c r="O162" s="41"/>
      <c r="P162" s="43"/>
      <c r="Q162" s="30"/>
      <c r="R162" s="24" t="str">
        <f aca="false">IF(OR(J162="",K162="",J162=0),"",1-K162/J162)</f>
        <v/>
      </c>
      <c r="S162" s="45" t="str">
        <f aca="false">IF(OR(I162="",M162=""),"",M162-I162)</f>
        <v/>
      </c>
      <c r="T162" s="24" t="str">
        <f aca="false">IF(OR(J162="",O162="",J162=0),"",O162/J162)</f>
        <v/>
      </c>
      <c r="U162" s="46" t="str">
        <f aca="false">IF(OR(J162="",G162="",G162=0),"",J162/G162)</f>
        <v/>
      </c>
      <c r="V162" s="46" t="str">
        <f aca="false">IF(OR(O162="",G162="",G162=0),"",O162/G162)</f>
        <v/>
      </c>
    </row>
    <row r="163" customFormat="false" ht="15" hidden="false" customHeight="false" outlineLevel="0" collapsed="false">
      <c r="A163" s="30"/>
      <c r="B163" s="30"/>
      <c r="C163" s="30"/>
      <c r="D163" s="30"/>
      <c r="E163" s="27"/>
      <c r="F163" s="47"/>
      <c r="G163" s="27"/>
      <c r="H163" s="30"/>
      <c r="I163" s="43"/>
      <c r="J163" s="41"/>
      <c r="K163" s="41"/>
      <c r="L163" s="30"/>
      <c r="M163" s="43"/>
      <c r="N163" s="43"/>
      <c r="O163" s="41"/>
      <c r="P163" s="43"/>
      <c r="Q163" s="30"/>
      <c r="R163" s="24" t="str">
        <f aca="false">IF(OR(J163="",K163="",J163=0),"",1-K163/J163)</f>
        <v/>
      </c>
      <c r="S163" s="45" t="str">
        <f aca="false">IF(OR(I163="",M163=""),"",M163-I163)</f>
        <v/>
      </c>
      <c r="T163" s="24" t="str">
        <f aca="false">IF(OR(J163="",O163="",J163=0),"",O163/J163)</f>
        <v/>
      </c>
      <c r="U163" s="46" t="str">
        <f aca="false">IF(OR(J163="",G163="",G163=0),"",J163/G163)</f>
        <v/>
      </c>
      <c r="V163" s="46" t="str">
        <f aca="false">IF(OR(O163="",G163="",G163=0),"",O163/G163)</f>
        <v/>
      </c>
    </row>
    <row r="164" customFormat="false" ht="15" hidden="false" customHeight="false" outlineLevel="0" collapsed="false">
      <c r="A164" s="30"/>
      <c r="B164" s="30"/>
      <c r="C164" s="30"/>
      <c r="D164" s="30"/>
      <c r="E164" s="27"/>
      <c r="F164" s="47"/>
      <c r="G164" s="27"/>
      <c r="H164" s="30"/>
      <c r="I164" s="43"/>
      <c r="J164" s="41"/>
      <c r="K164" s="41"/>
      <c r="L164" s="30"/>
      <c r="M164" s="43"/>
      <c r="N164" s="43"/>
      <c r="O164" s="41"/>
      <c r="P164" s="43"/>
      <c r="Q164" s="30"/>
      <c r="R164" s="24" t="str">
        <f aca="false">IF(OR(J164="",K164="",J164=0),"",1-K164/J164)</f>
        <v/>
      </c>
      <c r="S164" s="45" t="str">
        <f aca="false">IF(OR(I164="",M164=""),"",M164-I164)</f>
        <v/>
      </c>
      <c r="T164" s="24" t="str">
        <f aca="false">IF(OR(J164="",O164="",J164=0),"",O164/J164)</f>
        <v/>
      </c>
      <c r="U164" s="46" t="str">
        <f aca="false">IF(OR(J164="",G164="",G164=0),"",J164/G164)</f>
        <v/>
      </c>
      <c r="V164" s="46" t="str">
        <f aca="false">IF(OR(O164="",G164="",G164=0),"",O164/G164)</f>
        <v/>
      </c>
    </row>
    <row r="165" customFormat="false" ht="15" hidden="false" customHeight="false" outlineLevel="0" collapsed="false">
      <c r="A165" s="30"/>
      <c r="B165" s="30"/>
      <c r="C165" s="30"/>
      <c r="D165" s="30"/>
      <c r="E165" s="27"/>
      <c r="F165" s="47"/>
      <c r="G165" s="27"/>
      <c r="H165" s="30"/>
      <c r="I165" s="43"/>
      <c r="J165" s="41"/>
      <c r="K165" s="41"/>
      <c r="L165" s="30"/>
      <c r="M165" s="43"/>
      <c r="N165" s="43"/>
      <c r="O165" s="41"/>
      <c r="P165" s="43"/>
      <c r="Q165" s="30"/>
      <c r="R165" s="24" t="str">
        <f aca="false">IF(OR(J165="",K165="",J165=0),"",1-K165/J165)</f>
        <v/>
      </c>
      <c r="S165" s="45" t="str">
        <f aca="false">IF(OR(I165="",M165=""),"",M165-I165)</f>
        <v/>
      </c>
      <c r="T165" s="24" t="str">
        <f aca="false">IF(OR(J165="",O165="",J165=0),"",O165/J165)</f>
        <v/>
      </c>
      <c r="U165" s="46" t="str">
        <f aca="false">IF(OR(J165="",G165="",G165=0),"",J165/G165)</f>
        <v/>
      </c>
      <c r="V165" s="46" t="str">
        <f aca="false">IF(OR(O165="",G165="",G165=0),"",O165/G165)</f>
        <v/>
      </c>
    </row>
    <row r="166" customFormat="false" ht="15" hidden="false" customHeight="false" outlineLevel="0" collapsed="false">
      <c r="A166" s="30"/>
      <c r="B166" s="30"/>
      <c r="C166" s="30"/>
      <c r="D166" s="30"/>
      <c r="E166" s="27"/>
      <c r="F166" s="47"/>
      <c r="G166" s="27"/>
      <c r="H166" s="30"/>
      <c r="I166" s="43"/>
      <c r="J166" s="41"/>
      <c r="K166" s="41"/>
      <c r="L166" s="30"/>
      <c r="M166" s="43"/>
      <c r="N166" s="43"/>
      <c r="O166" s="41"/>
      <c r="P166" s="43"/>
      <c r="Q166" s="30"/>
      <c r="R166" s="24" t="str">
        <f aca="false">IF(OR(J166="",K166="",J166=0),"",1-K166/J166)</f>
        <v/>
      </c>
      <c r="S166" s="45" t="str">
        <f aca="false">IF(OR(I166="",M166=""),"",M166-I166)</f>
        <v/>
      </c>
      <c r="T166" s="24" t="str">
        <f aca="false">IF(OR(J166="",O166="",J166=0),"",O166/J166)</f>
        <v/>
      </c>
      <c r="U166" s="46" t="str">
        <f aca="false">IF(OR(J166="",G166="",G166=0),"",J166/G166)</f>
        <v/>
      </c>
      <c r="V166" s="46" t="str">
        <f aca="false">IF(OR(O166="",G166="",G166=0),"",O166/G166)</f>
        <v/>
      </c>
    </row>
    <row r="167" customFormat="false" ht="15" hidden="false" customHeight="false" outlineLevel="0" collapsed="false">
      <c r="A167" s="30"/>
      <c r="B167" s="30"/>
      <c r="C167" s="30"/>
      <c r="D167" s="30"/>
      <c r="E167" s="27"/>
      <c r="F167" s="47"/>
      <c r="G167" s="27"/>
      <c r="H167" s="30"/>
      <c r="I167" s="43"/>
      <c r="J167" s="41"/>
      <c r="K167" s="41"/>
      <c r="L167" s="30"/>
      <c r="M167" s="43"/>
      <c r="N167" s="43"/>
      <c r="O167" s="41"/>
      <c r="P167" s="43"/>
      <c r="Q167" s="30"/>
      <c r="R167" s="24" t="str">
        <f aca="false">IF(OR(J167="",K167="",J167=0),"",1-K167/J167)</f>
        <v/>
      </c>
      <c r="S167" s="45" t="str">
        <f aca="false">IF(OR(I167="",M167=""),"",M167-I167)</f>
        <v/>
      </c>
      <c r="T167" s="24" t="str">
        <f aca="false">IF(OR(J167="",O167="",J167=0),"",O167/J167)</f>
        <v/>
      </c>
      <c r="U167" s="46" t="str">
        <f aca="false">IF(OR(J167="",G167="",G167=0),"",J167/G167)</f>
        <v/>
      </c>
      <c r="V167" s="46" t="str">
        <f aca="false">IF(OR(O167="",G167="",G167=0),"",O167/G167)</f>
        <v/>
      </c>
    </row>
    <row r="168" customFormat="false" ht="15" hidden="false" customHeight="false" outlineLevel="0" collapsed="false">
      <c r="A168" s="30"/>
      <c r="B168" s="30"/>
      <c r="C168" s="30"/>
      <c r="D168" s="30"/>
      <c r="E168" s="27"/>
      <c r="F168" s="47"/>
      <c r="G168" s="27"/>
      <c r="H168" s="30"/>
      <c r="I168" s="43"/>
      <c r="J168" s="41"/>
      <c r="K168" s="41"/>
      <c r="L168" s="30"/>
      <c r="M168" s="43"/>
      <c r="N168" s="43"/>
      <c r="O168" s="41"/>
      <c r="P168" s="43"/>
      <c r="Q168" s="30"/>
      <c r="R168" s="24" t="str">
        <f aca="false">IF(OR(J168="",K168="",J168=0),"",1-K168/J168)</f>
        <v/>
      </c>
      <c r="S168" s="45" t="str">
        <f aca="false">IF(OR(I168="",M168=""),"",M168-I168)</f>
        <v/>
      </c>
      <c r="T168" s="24" t="str">
        <f aca="false">IF(OR(J168="",O168="",J168=0),"",O168/J168)</f>
        <v/>
      </c>
      <c r="U168" s="46" t="str">
        <f aca="false">IF(OR(J168="",G168="",G168=0),"",J168/G168)</f>
        <v/>
      </c>
      <c r="V168" s="46" t="str">
        <f aca="false">IF(OR(O168="",G168="",G168=0),"",O168/G168)</f>
        <v/>
      </c>
    </row>
    <row r="169" customFormat="false" ht="15" hidden="false" customHeight="false" outlineLevel="0" collapsed="false">
      <c r="A169" s="30"/>
      <c r="B169" s="30"/>
      <c r="C169" s="30"/>
      <c r="D169" s="30"/>
      <c r="E169" s="27"/>
      <c r="F169" s="47"/>
      <c r="G169" s="27"/>
      <c r="H169" s="30"/>
      <c r="I169" s="43"/>
      <c r="J169" s="41"/>
      <c r="K169" s="41"/>
      <c r="L169" s="30"/>
      <c r="M169" s="43"/>
      <c r="N169" s="43"/>
      <c r="O169" s="41"/>
      <c r="P169" s="43"/>
      <c r="Q169" s="30"/>
      <c r="R169" s="24" t="str">
        <f aca="false">IF(OR(J169="",K169="",J169=0),"",1-K169/J169)</f>
        <v/>
      </c>
      <c r="S169" s="45" t="str">
        <f aca="false">IF(OR(I169="",M169=""),"",M169-I169)</f>
        <v/>
      </c>
      <c r="T169" s="24" t="str">
        <f aca="false">IF(OR(J169="",O169="",J169=0),"",O169/J169)</f>
        <v/>
      </c>
      <c r="U169" s="46" t="str">
        <f aca="false">IF(OR(J169="",G169="",G169=0),"",J169/G169)</f>
        <v/>
      </c>
      <c r="V169" s="46" t="str">
        <f aca="false">IF(OR(O169="",G169="",G169=0),"",O169/G169)</f>
        <v/>
      </c>
    </row>
    <row r="170" customFormat="false" ht="15" hidden="false" customHeight="false" outlineLevel="0" collapsed="false">
      <c r="A170" s="30"/>
      <c r="B170" s="30"/>
      <c r="C170" s="30"/>
      <c r="D170" s="30"/>
      <c r="E170" s="27"/>
      <c r="F170" s="47"/>
      <c r="G170" s="27"/>
      <c r="H170" s="30"/>
      <c r="I170" s="43"/>
      <c r="J170" s="41"/>
      <c r="K170" s="41"/>
      <c r="L170" s="30"/>
      <c r="M170" s="43"/>
      <c r="N170" s="43"/>
      <c r="O170" s="41"/>
      <c r="P170" s="43"/>
      <c r="Q170" s="30"/>
      <c r="R170" s="24" t="str">
        <f aca="false">IF(OR(J170="",K170="",J170=0),"",1-K170/J170)</f>
        <v/>
      </c>
      <c r="S170" s="45" t="str">
        <f aca="false">IF(OR(I170="",M170=""),"",M170-I170)</f>
        <v/>
      </c>
      <c r="T170" s="24" t="str">
        <f aca="false">IF(OR(J170="",O170="",J170=0),"",O170/J170)</f>
        <v/>
      </c>
      <c r="U170" s="46" t="str">
        <f aca="false">IF(OR(J170="",G170="",G170=0),"",J170/G170)</f>
        <v/>
      </c>
      <c r="V170" s="46" t="str">
        <f aca="false">IF(OR(O170="",G170="",G170=0),"",O170/G170)</f>
        <v/>
      </c>
    </row>
    <row r="171" customFormat="false" ht="15" hidden="false" customHeight="false" outlineLevel="0" collapsed="false">
      <c r="A171" s="30"/>
      <c r="B171" s="30"/>
      <c r="C171" s="30"/>
      <c r="D171" s="30"/>
      <c r="E171" s="27"/>
      <c r="F171" s="47"/>
      <c r="G171" s="27"/>
      <c r="H171" s="30"/>
      <c r="I171" s="43"/>
      <c r="J171" s="41"/>
      <c r="K171" s="41"/>
      <c r="L171" s="30"/>
      <c r="M171" s="43"/>
      <c r="N171" s="43"/>
      <c r="O171" s="41"/>
      <c r="P171" s="43"/>
      <c r="Q171" s="30"/>
      <c r="R171" s="24" t="str">
        <f aca="false">IF(OR(J171="",K171="",J171=0),"",1-K171/J171)</f>
        <v/>
      </c>
      <c r="S171" s="45" t="str">
        <f aca="false">IF(OR(I171="",M171=""),"",M171-I171)</f>
        <v/>
      </c>
      <c r="T171" s="24" t="str">
        <f aca="false">IF(OR(J171="",O171="",J171=0),"",O171/J171)</f>
        <v/>
      </c>
      <c r="U171" s="46" t="str">
        <f aca="false">IF(OR(J171="",G171="",G171=0),"",J171/G171)</f>
        <v/>
      </c>
      <c r="V171" s="46" t="str">
        <f aca="false">IF(OR(O171="",G171="",G171=0),"",O171/G171)</f>
        <v/>
      </c>
    </row>
    <row r="172" customFormat="false" ht="15" hidden="false" customHeight="false" outlineLevel="0" collapsed="false">
      <c r="A172" s="30"/>
      <c r="B172" s="30"/>
      <c r="C172" s="30"/>
      <c r="D172" s="30"/>
      <c r="E172" s="27"/>
      <c r="F172" s="47"/>
      <c r="G172" s="27"/>
      <c r="H172" s="30"/>
      <c r="I172" s="43"/>
      <c r="J172" s="41"/>
      <c r="K172" s="41"/>
      <c r="L172" s="30"/>
      <c r="M172" s="43"/>
      <c r="N172" s="43"/>
      <c r="O172" s="41"/>
      <c r="P172" s="43"/>
      <c r="Q172" s="30"/>
      <c r="R172" s="24" t="str">
        <f aca="false">IF(OR(J172="",K172="",J172=0),"",1-K172/J172)</f>
        <v/>
      </c>
      <c r="S172" s="45" t="str">
        <f aca="false">IF(OR(I172="",M172=""),"",M172-I172)</f>
        <v/>
      </c>
      <c r="T172" s="24" t="str">
        <f aca="false">IF(OR(J172="",O172="",J172=0),"",O172/J172)</f>
        <v/>
      </c>
      <c r="U172" s="46" t="str">
        <f aca="false">IF(OR(J172="",G172="",G172=0),"",J172/G172)</f>
        <v/>
      </c>
      <c r="V172" s="46" t="str">
        <f aca="false">IF(OR(O172="",G172="",G172=0),"",O172/G172)</f>
        <v/>
      </c>
    </row>
    <row r="173" customFormat="false" ht="15" hidden="false" customHeight="false" outlineLevel="0" collapsed="false">
      <c r="A173" s="30"/>
      <c r="B173" s="30"/>
      <c r="C173" s="30"/>
      <c r="D173" s="30"/>
      <c r="E173" s="27"/>
      <c r="F173" s="47"/>
      <c r="G173" s="27"/>
      <c r="H173" s="30"/>
      <c r="I173" s="43"/>
      <c r="J173" s="41"/>
      <c r="K173" s="41"/>
      <c r="L173" s="30"/>
      <c r="M173" s="43"/>
      <c r="N173" s="43"/>
      <c r="O173" s="41"/>
      <c r="P173" s="43"/>
      <c r="Q173" s="30"/>
      <c r="R173" s="24" t="str">
        <f aca="false">IF(OR(J173="",K173="",J173=0),"",1-K173/J173)</f>
        <v/>
      </c>
      <c r="S173" s="45" t="str">
        <f aca="false">IF(OR(I173="",M173=""),"",M173-I173)</f>
        <v/>
      </c>
      <c r="T173" s="24" t="str">
        <f aca="false">IF(OR(J173="",O173="",J173=0),"",O173/J173)</f>
        <v/>
      </c>
      <c r="U173" s="46" t="str">
        <f aca="false">IF(OR(J173="",G173="",G173=0),"",J173/G173)</f>
        <v/>
      </c>
      <c r="V173" s="46" t="str">
        <f aca="false">IF(OR(O173="",G173="",G173=0),"",O173/G173)</f>
        <v/>
      </c>
    </row>
    <row r="174" customFormat="false" ht="15" hidden="false" customHeight="false" outlineLevel="0" collapsed="false">
      <c r="A174" s="30"/>
      <c r="B174" s="30"/>
      <c r="C174" s="30"/>
      <c r="D174" s="30"/>
      <c r="E174" s="27"/>
      <c r="F174" s="47"/>
      <c r="G174" s="27"/>
      <c r="H174" s="30"/>
      <c r="I174" s="43"/>
      <c r="J174" s="41"/>
      <c r="K174" s="41"/>
      <c r="L174" s="30"/>
      <c r="M174" s="43"/>
      <c r="N174" s="43"/>
      <c r="O174" s="41"/>
      <c r="P174" s="43"/>
      <c r="Q174" s="30"/>
      <c r="R174" s="24" t="str">
        <f aca="false">IF(OR(J174="",K174="",J174=0),"",1-K174/J174)</f>
        <v/>
      </c>
      <c r="S174" s="45" t="str">
        <f aca="false">IF(OR(I174="",M174=""),"",M174-I174)</f>
        <v/>
      </c>
      <c r="T174" s="24" t="str">
        <f aca="false">IF(OR(J174="",O174="",J174=0),"",O174/J174)</f>
        <v/>
      </c>
      <c r="U174" s="46" t="str">
        <f aca="false">IF(OR(J174="",G174="",G174=0),"",J174/G174)</f>
        <v/>
      </c>
      <c r="V174" s="46" t="str">
        <f aca="false">IF(OR(O174="",G174="",G174=0),"",O174/G174)</f>
        <v/>
      </c>
    </row>
    <row r="175" customFormat="false" ht="15" hidden="false" customHeight="false" outlineLevel="0" collapsed="false">
      <c r="A175" s="30"/>
      <c r="B175" s="30"/>
      <c r="C175" s="30"/>
      <c r="D175" s="30"/>
      <c r="E175" s="27"/>
      <c r="F175" s="47"/>
      <c r="G175" s="27"/>
      <c r="H175" s="30"/>
      <c r="I175" s="43"/>
      <c r="J175" s="41"/>
      <c r="K175" s="41"/>
      <c r="L175" s="30"/>
      <c r="M175" s="43"/>
      <c r="N175" s="43"/>
      <c r="O175" s="41"/>
      <c r="P175" s="43"/>
      <c r="Q175" s="30"/>
      <c r="R175" s="24" t="str">
        <f aca="false">IF(OR(J175="",K175="",J175=0),"",1-K175/J175)</f>
        <v/>
      </c>
      <c r="S175" s="45" t="str">
        <f aca="false">IF(OR(I175="",M175=""),"",M175-I175)</f>
        <v/>
      </c>
      <c r="T175" s="24" t="str">
        <f aca="false">IF(OR(J175="",O175="",J175=0),"",O175/J175)</f>
        <v/>
      </c>
      <c r="U175" s="46" t="str">
        <f aca="false">IF(OR(J175="",G175="",G175=0),"",J175/G175)</f>
        <v/>
      </c>
      <c r="V175" s="46" t="str">
        <f aca="false">IF(OR(O175="",G175="",G175=0),"",O175/G175)</f>
        <v/>
      </c>
    </row>
    <row r="176" customFormat="false" ht="15" hidden="false" customHeight="false" outlineLevel="0" collapsed="false">
      <c r="A176" s="30"/>
      <c r="B176" s="30"/>
      <c r="C176" s="30"/>
      <c r="D176" s="30"/>
      <c r="E176" s="27"/>
      <c r="F176" s="47"/>
      <c r="G176" s="27"/>
      <c r="H176" s="30"/>
      <c r="I176" s="43"/>
      <c r="J176" s="41"/>
      <c r="K176" s="41"/>
      <c r="L176" s="30"/>
      <c r="M176" s="43"/>
      <c r="N176" s="43"/>
      <c r="O176" s="41"/>
      <c r="P176" s="43"/>
      <c r="Q176" s="30"/>
      <c r="R176" s="24" t="str">
        <f aca="false">IF(OR(J176="",K176="",J176=0),"",1-K176/J176)</f>
        <v/>
      </c>
      <c r="S176" s="45" t="str">
        <f aca="false">IF(OR(I176="",M176=""),"",M176-I176)</f>
        <v/>
      </c>
      <c r="T176" s="24" t="str">
        <f aca="false">IF(OR(J176="",O176="",J176=0),"",O176/J176)</f>
        <v/>
      </c>
      <c r="U176" s="46" t="str">
        <f aca="false">IF(OR(J176="",G176="",G176=0),"",J176/G176)</f>
        <v/>
      </c>
      <c r="V176" s="46" t="str">
        <f aca="false">IF(OR(O176="",G176="",G176=0),"",O176/G176)</f>
        <v/>
      </c>
    </row>
    <row r="177" customFormat="false" ht="15" hidden="false" customHeight="false" outlineLevel="0" collapsed="false">
      <c r="A177" s="30"/>
      <c r="B177" s="30"/>
      <c r="C177" s="30"/>
      <c r="D177" s="30"/>
      <c r="E177" s="27"/>
      <c r="F177" s="47"/>
      <c r="G177" s="27"/>
      <c r="H177" s="30"/>
      <c r="I177" s="43"/>
      <c r="J177" s="41"/>
      <c r="K177" s="41"/>
      <c r="L177" s="30"/>
      <c r="M177" s="43"/>
      <c r="N177" s="43"/>
      <c r="O177" s="41"/>
      <c r="P177" s="43"/>
      <c r="Q177" s="30"/>
      <c r="R177" s="24" t="str">
        <f aca="false">IF(OR(J177="",K177="",J177=0),"",1-K177/J177)</f>
        <v/>
      </c>
      <c r="S177" s="45" t="str">
        <f aca="false">IF(OR(I177="",M177=""),"",M177-I177)</f>
        <v/>
      </c>
      <c r="T177" s="24" t="str">
        <f aca="false">IF(OR(J177="",O177="",J177=0),"",O177/J177)</f>
        <v/>
      </c>
      <c r="U177" s="46" t="str">
        <f aca="false">IF(OR(J177="",G177="",G177=0),"",J177/G177)</f>
        <v/>
      </c>
      <c r="V177" s="46" t="str">
        <f aca="false">IF(OR(O177="",G177="",G177=0),"",O177/G177)</f>
        <v/>
      </c>
    </row>
    <row r="178" customFormat="false" ht="15" hidden="false" customHeight="false" outlineLevel="0" collapsed="false">
      <c r="A178" s="30"/>
      <c r="B178" s="30"/>
      <c r="C178" s="30"/>
      <c r="D178" s="30"/>
      <c r="E178" s="27"/>
      <c r="F178" s="47"/>
      <c r="G178" s="27"/>
      <c r="H178" s="30"/>
      <c r="I178" s="43"/>
      <c r="J178" s="41"/>
      <c r="K178" s="41"/>
      <c r="L178" s="30"/>
      <c r="M178" s="43"/>
      <c r="N178" s="43"/>
      <c r="O178" s="41"/>
      <c r="P178" s="43"/>
      <c r="Q178" s="30"/>
      <c r="R178" s="24" t="str">
        <f aca="false">IF(OR(J178="",K178="",J178=0),"",1-K178/J178)</f>
        <v/>
      </c>
      <c r="S178" s="45" t="str">
        <f aca="false">IF(OR(I178="",M178=""),"",M178-I178)</f>
        <v/>
      </c>
      <c r="T178" s="24" t="str">
        <f aca="false">IF(OR(J178="",O178="",J178=0),"",O178/J178)</f>
        <v/>
      </c>
      <c r="U178" s="46" t="str">
        <f aca="false">IF(OR(J178="",G178="",G178=0),"",J178/G178)</f>
        <v/>
      </c>
      <c r="V178" s="46" t="str">
        <f aca="false">IF(OR(O178="",G178="",G178=0),"",O178/G178)</f>
        <v/>
      </c>
    </row>
    <row r="179" customFormat="false" ht="15" hidden="false" customHeight="false" outlineLevel="0" collapsed="false">
      <c r="A179" s="30"/>
      <c r="B179" s="30"/>
      <c r="C179" s="30"/>
      <c r="D179" s="30"/>
      <c r="E179" s="27"/>
      <c r="F179" s="47"/>
      <c r="G179" s="27"/>
      <c r="H179" s="30"/>
      <c r="I179" s="43"/>
      <c r="J179" s="41"/>
      <c r="K179" s="41"/>
      <c r="L179" s="30"/>
      <c r="M179" s="43"/>
      <c r="N179" s="43"/>
      <c r="O179" s="41"/>
      <c r="P179" s="43"/>
      <c r="Q179" s="30"/>
      <c r="R179" s="24" t="str">
        <f aca="false">IF(OR(J179="",K179="",J179=0),"",1-K179/J179)</f>
        <v/>
      </c>
      <c r="S179" s="45" t="str">
        <f aca="false">IF(OR(I179="",M179=""),"",M179-I179)</f>
        <v/>
      </c>
      <c r="T179" s="24" t="str">
        <f aca="false">IF(OR(J179="",O179="",J179=0),"",O179/J179)</f>
        <v/>
      </c>
      <c r="U179" s="46" t="str">
        <f aca="false">IF(OR(J179="",G179="",G179=0),"",J179/G179)</f>
        <v/>
      </c>
      <c r="V179" s="46" t="str">
        <f aca="false">IF(OR(O179="",G179="",G179=0),"",O179/G179)</f>
        <v/>
      </c>
    </row>
    <row r="180" customFormat="false" ht="15" hidden="false" customHeight="false" outlineLevel="0" collapsed="false">
      <c r="A180" s="30"/>
      <c r="B180" s="30"/>
      <c r="C180" s="30"/>
      <c r="D180" s="30"/>
      <c r="E180" s="27"/>
      <c r="F180" s="47"/>
      <c r="G180" s="27"/>
      <c r="H180" s="30"/>
      <c r="I180" s="43"/>
      <c r="J180" s="41"/>
      <c r="K180" s="41"/>
      <c r="L180" s="30"/>
      <c r="M180" s="43"/>
      <c r="N180" s="43"/>
      <c r="O180" s="41"/>
      <c r="P180" s="43"/>
      <c r="Q180" s="30"/>
      <c r="R180" s="24" t="str">
        <f aca="false">IF(OR(J180="",K180="",J180=0),"",1-K180/J180)</f>
        <v/>
      </c>
      <c r="S180" s="45" t="str">
        <f aca="false">IF(OR(I180="",M180=""),"",M180-I180)</f>
        <v/>
      </c>
      <c r="T180" s="24" t="str">
        <f aca="false">IF(OR(J180="",O180="",J180=0),"",O180/J180)</f>
        <v/>
      </c>
      <c r="U180" s="46" t="str">
        <f aca="false">IF(OR(J180="",G180="",G180=0),"",J180/G180)</f>
        <v/>
      </c>
      <c r="V180" s="46" t="str">
        <f aca="false">IF(OR(O180="",G180="",G180=0),"",O180/G180)</f>
        <v/>
      </c>
    </row>
    <row r="181" customFormat="false" ht="15" hidden="false" customHeight="false" outlineLevel="0" collapsed="false">
      <c r="A181" s="30"/>
      <c r="B181" s="30"/>
      <c r="C181" s="30"/>
      <c r="D181" s="30"/>
      <c r="E181" s="27"/>
      <c r="F181" s="47"/>
      <c r="G181" s="27"/>
      <c r="H181" s="30"/>
      <c r="I181" s="43"/>
      <c r="J181" s="41"/>
      <c r="K181" s="41"/>
      <c r="L181" s="30"/>
      <c r="M181" s="43"/>
      <c r="N181" s="43"/>
      <c r="O181" s="41"/>
      <c r="P181" s="43"/>
      <c r="Q181" s="30"/>
      <c r="R181" s="24" t="str">
        <f aca="false">IF(OR(J181="",K181="",J181=0),"",1-K181/J181)</f>
        <v/>
      </c>
      <c r="S181" s="45" t="str">
        <f aca="false">IF(OR(I181="",M181=""),"",M181-I181)</f>
        <v/>
      </c>
      <c r="T181" s="24" t="str">
        <f aca="false">IF(OR(J181="",O181="",J181=0),"",O181/J181)</f>
        <v/>
      </c>
      <c r="U181" s="46" t="str">
        <f aca="false">IF(OR(J181="",G181="",G181=0),"",J181/G181)</f>
        <v/>
      </c>
      <c r="V181" s="46" t="str">
        <f aca="false">IF(OR(O181="",G181="",G181=0),"",O181/G181)</f>
        <v/>
      </c>
    </row>
    <row r="182" customFormat="false" ht="15" hidden="false" customHeight="false" outlineLevel="0" collapsed="false">
      <c r="A182" s="30"/>
      <c r="B182" s="30"/>
      <c r="C182" s="30"/>
      <c r="D182" s="30"/>
      <c r="E182" s="27"/>
      <c r="F182" s="47"/>
      <c r="G182" s="27"/>
      <c r="H182" s="30"/>
      <c r="I182" s="43"/>
      <c r="J182" s="41"/>
      <c r="K182" s="41"/>
      <c r="L182" s="30"/>
      <c r="M182" s="43"/>
      <c r="N182" s="43"/>
      <c r="O182" s="41"/>
      <c r="P182" s="43"/>
      <c r="Q182" s="30"/>
      <c r="R182" s="24" t="str">
        <f aca="false">IF(OR(J182="",K182="",J182=0),"",1-K182/J182)</f>
        <v/>
      </c>
      <c r="S182" s="45" t="str">
        <f aca="false">IF(OR(I182="",M182=""),"",M182-I182)</f>
        <v/>
      </c>
      <c r="T182" s="24" t="str">
        <f aca="false">IF(OR(J182="",O182="",J182=0),"",O182/J182)</f>
        <v/>
      </c>
      <c r="U182" s="46" t="str">
        <f aca="false">IF(OR(J182="",G182="",G182=0),"",J182/G182)</f>
        <v/>
      </c>
      <c r="V182" s="46" t="str">
        <f aca="false">IF(OR(O182="",G182="",G182=0),"",O182/G182)</f>
        <v/>
      </c>
    </row>
    <row r="183" customFormat="false" ht="15" hidden="false" customHeight="false" outlineLevel="0" collapsed="false">
      <c r="A183" s="30"/>
      <c r="B183" s="30"/>
      <c r="C183" s="30"/>
      <c r="D183" s="30"/>
      <c r="E183" s="27"/>
      <c r="F183" s="47"/>
      <c r="G183" s="27"/>
      <c r="H183" s="30"/>
      <c r="I183" s="43"/>
      <c r="J183" s="41"/>
      <c r="K183" s="41"/>
      <c r="L183" s="30"/>
      <c r="M183" s="43"/>
      <c r="N183" s="43"/>
      <c r="O183" s="41"/>
      <c r="P183" s="43"/>
      <c r="Q183" s="30"/>
      <c r="R183" s="24" t="str">
        <f aca="false">IF(OR(J183="",K183="",J183=0),"",1-K183/J183)</f>
        <v/>
      </c>
      <c r="S183" s="45" t="str">
        <f aca="false">IF(OR(I183="",M183=""),"",M183-I183)</f>
        <v/>
      </c>
      <c r="T183" s="24" t="str">
        <f aca="false">IF(OR(J183="",O183="",J183=0),"",O183/J183)</f>
        <v/>
      </c>
      <c r="U183" s="46" t="str">
        <f aca="false">IF(OR(J183="",G183="",G183=0),"",J183/G183)</f>
        <v/>
      </c>
      <c r="V183" s="46" t="str">
        <f aca="false">IF(OR(O183="",G183="",G183=0),"",O183/G183)</f>
        <v/>
      </c>
    </row>
    <row r="184" customFormat="false" ht="15" hidden="false" customHeight="false" outlineLevel="0" collapsed="false">
      <c r="A184" s="30"/>
      <c r="B184" s="30"/>
      <c r="C184" s="30"/>
      <c r="D184" s="30"/>
      <c r="E184" s="27"/>
      <c r="F184" s="47"/>
      <c r="G184" s="27"/>
      <c r="H184" s="30"/>
      <c r="I184" s="43"/>
      <c r="J184" s="41"/>
      <c r="K184" s="41"/>
      <c r="L184" s="30"/>
      <c r="M184" s="43"/>
      <c r="N184" s="43"/>
      <c r="O184" s="41"/>
      <c r="P184" s="43"/>
      <c r="Q184" s="30"/>
      <c r="R184" s="24" t="str">
        <f aca="false">IF(OR(J184="",K184="",J184=0),"",1-K184/J184)</f>
        <v/>
      </c>
      <c r="S184" s="45" t="str">
        <f aca="false">IF(OR(I184="",M184=""),"",M184-I184)</f>
        <v/>
      </c>
      <c r="T184" s="24" t="str">
        <f aca="false">IF(OR(J184="",O184="",J184=0),"",O184/J184)</f>
        <v/>
      </c>
      <c r="U184" s="46" t="str">
        <f aca="false">IF(OR(J184="",G184="",G184=0),"",J184/G184)</f>
        <v/>
      </c>
      <c r="V184" s="46" t="str">
        <f aca="false">IF(OR(O184="",G184="",G184=0),"",O184/G184)</f>
        <v/>
      </c>
    </row>
    <row r="185" customFormat="false" ht="15" hidden="false" customHeight="false" outlineLevel="0" collapsed="false">
      <c r="A185" s="30"/>
      <c r="B185" s="30"/>
      <c r="C185" s="30"/>
      <c r="D185" s="30"/>
      <c r="E185" s="27"/>
      <c r="F185" s="47"/>
      <c r="G185" s="27"/>
      <c r="H185" s="30"/>
      <c r="I185" s="43"/>
      <c r="J185" s="41"/>
      <c r="K185" s="41"/>
      <c r="L185" s="30"/>
      <c r="M185" s="43"/>
      <c r="N185" s="43"/>
      <c r="O185" s="41"/>
      <c r="P185" s="43"/>
      <c r="Q185" s="30"/>
      <c r="R185" s="24" t="str">
        <f aca="false">IF(OR(J185="",K185="",J185=0),"",1-K185/J185)</f>
        <v/>
      </c>
      <c r="S185" s="45" t="str">
        <f aca="false">IF(OR(I185="",M185=""),"",M185-I185)</f>
        <v/>
      </c>
      <c r="T185" s="24" t="str">
        <f aca="false">IF(OR(J185="",O185="",J185=0),"",O185/J185)</f>
        <v/>
      </c>
      <c r="U185" s="46" t="str">
        <f aca="false">IF(OR(J185="",G185="",G185=0),"",J185/G185)</f>
        <v/>
      </c>
      <c r="V185" s="46" t="str">
        <f aca="false">IF(OR(O185="",G185="",G185=0),"",O185/G185)</f>
        <v/>
      </c>
    </row>
    <row r="186" customFormat="false" ht="15" hidden="false" customHeight="false" outlineLevel="0" collapsed="false">
      <c r="A186" s="30"/>
      <c r="B186" s="30"/>
      <c r="C186" s="30"/>
      <c r="D186" s="30"/>
      <c r="E186" s="27"/>
      <c r="F186" s="47"/>
      <c r="G186" s="27"/>
      <c r="H186" s="30"/>
      <c r="I186" s="43"/>
      <c r="J186" s="41"/>
      <c r="K186" s="41"/>
      <c r="L186" s="30"/>
      <c r="M186" s="43"/>
      <c r="N186" s="43"/>
      <c r="O186" s="41"/>
      <c r="P186" s="43"/>
      <c r="Q186" s="30"/>
      <c r="R186" s="24" t="str">
        <f aca="false">IF(OR(J186="",K186="",J186=0),"",1-K186/J186)</f>
        <v/>
      </c>
      <c r="S186" s="45" t="str">
        <f aca="false">IF(OR(I186="",M186=""),"",M186-I186)</f>
        <v/>
      </c>
      <c r="T186" s="24" t="str">
        <f aca="false">IF(OR(J186="",O186="",J186=0),"",O186/J186)</f>
        <v/>
      </c>
      <c r="U186" s="46" t="str">
        <f aca="false">IF(OR(J186="",G186="",G186=0),"",J186/G186)</f>
        <v/>
      </c>
      <c r="V186" s="46" t="str">
        <f aca="false">IF(OR(O186="",G186="",G186=0),"",O186/G186)</f>
        <v/>
      </c>
    </row>
    <row r="187" customFormat="false" ht="15" hidden="false" customHeight="false" outlineLevel="0" collapsed="false">
      <c r="A187" s="30"/>
      <c r="B187" s="30"/>
      <c r="C187" s="30"/>
      <c r="D187" s="30"/>
      <c r="E187" s="27"/>
      <c r="F187" s="47"/>
      <c r="G187" s="27"/>
      <c r="H187" s="30"/>
      <c r="I187" s="43"/>
      <c r="J187" s="41"/>
      <c r="K187" s="41"/>
      <c r="L187" s="30"/>
      <c r="M187" s="43"/>
      <c r="N187" s="43"/>
      <c r="O187" s="41"/>
      <c r="P187" s="43"/>
      <c r="Q187" s="30"/>
      <c r="R187" s="24" t="str">
        <f aca="false">IF(OR(J187="",K187="",J187=0),"",1-K187/J187)</f>
        <v/>
      </c>
      <c r="S187" s="45" t="str">
        <f aca="false">IF(OR(I187="",M187=""),"",M187-I187)</f>
        <v/>
      </c>
      <c r="T187" s="24" t="str">
        <f aca="false">IF(OR(J187="",O187="",J187=0),"",O187/J187)</f>
        <v/>
      </c>
      <c r="U187" s="46" t="str">
        <f aca="false">IF(OR(J187="",G187="",G187=0),"",J187/G187)</f>
        <v/>
      </c>
      <c r="V187" s="46" t="str">
        <f aca="false">IF(OR(O187="",G187="",G187=0),"",O187/G187)</f>
        <v/>
      </c>
    </row>
    <row r="188" customFormat="false" ht="15" hidden="false" customHeight="false" outlineLevel="0" collapsed="false">
      <c r="A188" s="30"/>
      <c r="B188" s="30"/>
      <c r="C188" s="30"/>
      <c r="D188" s="30"/>
      <c r="E188" s="27"/>
      <c r="F188" s="47"/>
      <c r="G188" s="27"/>
      <c r="H188" s="30"/>
      <c r="I188" s="43"/>
      <c r="J188" s="41"/>
      <c r="K188" s="41"/>
      <c r="L188" s="30"/>
      <c r="M188" s="43"/>
      <c r="N188" s="43"/>
      <c r="O188" s="41"/>
      <c r="P188" s="43"/>
      <c r="Q188" s="30"/>
      <c r="R188" s="24" t="str">
        <f aca="false">IF(OR(J188="",K188="",J188=0),"",1-K188/J188)</f>
        <v/>
      </c>
      <c r="S188" s="45" t="str">
        <f aca="false">IF(OR(I188="",M188=""),"",M188-I188)</f>
        <v/>
      </c>
      <c r="T188" s="24" t="str">
        <f aca="false">IF(OR(J188="",O188="",J188=0),"",O188/J188)</f>
        <v/>
      </c>
      <c r="U188" s="46" t="str">
        <f aca="false">IF(OR(J188="",G188="",G188=0),"",J188/G188)</f>
        <v/>
      </c>
      <c r="V188" s="46" t="str">
        <f aca="false">IF(OR(O188="",G188="",G188=0),"",O188/G188)</f>
        <v/>
      </c>
    </row>
    <row r="189" customFormat="false" ht="15" hidden="false" customHeight="false" outlineLevel="0" collapsed="false">
      <c r="A189" s="30"/>
      <c r="B189" s="30"/>
      <c r="C189" s="30"/>
      <c r="D189" s="30"/>
      <c r="E189" s="27"/>
      <c r="F189" s="47"/>
      <c r="G189" s="27"/>
      <c r="H189" s="30"/>
      <c r="I189" s="43"/>
      <c r="J189" s="41"/>
      <c r="K189" s="41"/>
      <c r="L189" s="30"/>
      <c r="M189" s="43"/>
      <c r="N189" s="43"/>
      <c r="O189" s="41"/>
      <c r="P189" s="43"/>
      <c r="Q189" s="30"/>
      <c r="R189" s="24" t="str">
        <f aca="false">IF(OR(J189="",K189="",J189=0),"",1-K189/J189)</f>
        <v/>
      </c>
      <c r="S189" s="45" t="str">
        <f aca="false">IF(OR(I189="",M189=""),"",M189-I189)</f>
        <v/>
      </c>
      <c r="T189" s="24" t="str">
        <f aca="false">IF(OR(J189="",O189="",J189=0),"",O189/J189)</f>
        <v/>
      </c>
      <c r="U189" s="46" t="str">
        <f aca="false">IF(OR(J189="",G189="",G189=0),"",J189/G189)</f>
        <v/>
      </c>
      <c r="V189" s="46" t="str">
        <f aca="false">IF(OR(O189="",G189="",G189=0),"",O189/G189)</f>
        <v/>
      </c>
    </row>
    <row r="190" customFormat="false" ht="15" hidden="false" customHeight="false" outlineLevel="0" collapsed="false">
      <c r="A190" s="30"/>
      <c r="B190" s="30"/>
      <c r="C190" s="30"/>
      <c r="D190" s="30"/>
      <c r="E190" s="27"/>
      <c r="F190" s="47"/>
      <c r="G190" s="27"/>
      <c r="H190" s="30"/>
      <c r="I190" s="43"/>
      <c r="J190" s="41"/>
      <c r="K190" s="41"/>
      <c r="L190" s="30"/>
      <c r="M190" s="43"/>
      <c r="N190" s="43"/>
      <c r="O190" s="41"/>
      <c r="P190" s="43"/>
      <c r="Q190" s="30"/>
      <c r="R190" s="24" t="str">
        <f aca="false">IF(OR(J190="",K190="",J190=0),"",1-K190/J190)</f>
        <v/>
      </c>
      <c r="S190" s="45" t="str">
        <f aca="false">IF(OR(I190="",M190=""),"",M190-I190)</f>
        <v/>
      </c>
      <c r="T190" s="24" t="str">
        <f aca="false">IF(OR(J190="",O190="",J190=0),"",O190/J190)</f>
        <v/>
      </c>
      <c r="U190" s="46" t="str">
        <f aca="false">IF(OR(J190="",G190="",G190=0),"",J190/G190)</f>
        <v/>
      </c>
      <c r="V190" s="46" t="str">
        <f aca="false">IF(OR(O190="",G190="",G190=0),"",O190/G190)</f>
        <v/>
      </c>
    </row>
    <row r="191" customFormat="false" ht="15" hidden="false" customHeight="false" outlineLevel="0" collapsed="false">
      <c r="A191" s="30"/>
      <c r="B191" s="30"/>
      <c r="C191" s="30"/>
      <c r="D191" s="30"/>
      <c r="E191" s="27"/>
      <c r="F191" s="47"/>
      <c r="G191" s="27"/>
      <c r="H191" s="30"/>
      <c r="I191" s="43"/>
      <c r="J191" s="41"/>
      <c r="K191" s="41"/>
      <c r="L191" s="30"/>
      <c r="M191" s="43"/>
      <c r="N191" s="43"/>
      <c r="O191" s="41"/>
      <c r="P191" s="43"/>
      <c r="Q191" s="30"/>
      <c r="R191" s="24" t="str">
        <f aca="false">IF(OR(J191="",K191="",J191=0),"",1-K191/J191)</f>
        <v/>
      </c>
      <c r="S191" s="45" t="str">
        <f aca="false">IF(OR(I191="",M191=""),"",M191-I191)</f>
        <v/>
      </c>
      <c r="T191" s="24" t="str">
        <f aca="false">IF(OR(J191="",O191="",J191=0),"",O191/J191)</f>
        <v/>
      </c>
      <c r="U191" s="46" t="str">
        <f aca="false">IF(OR(J191="",G191="",G191=0),"",J191/G191)</f>
        <v/>
      </c>
      <c r="V191" s="46" t="str">
        <f aca="false">IF(OR(O191="",G191="",G191=0),"",O191/G191)</f>
        <v/>
      </c>
    </row>
    <row r="192" customFormat="false" ht="15" hidden="false" customHeight="false" outlineLevel="0" collapsed="false">
      <c r="A192" s="30"/>
      <c r="B192" s="30"/>
      <c r="C192" s="30"/>
      <c r="D192" s="30"/>
      <c r="E192" s="27"/>
      <c r="F192" s="47"/>
      <c r="G192" s="27"/>
      <c r="H192" s="30"/>
      <c r="I192" s="43"/>
      <c r="J192" s="41"/>
      <c r="K192" s="41"/>
      <c r="L192" s="30"/>
      <c r="M192" s="43"/>
      <c r="N192" s="43"/>
      <c r="O192" s="41"/>
      <c r="P192" s="43"/>
      <c r="Q192" s="30"/>
      <c r="R192" s="24" t="str">
        <f aca="false">IF(OR(J192="",K192="",J192=0),"",1-K192/J192)</f>
        <v/>
      </c>
      <c r="S192" s="45" t="str">
        <f aca="false">IF(OR(I192="",M192=""),"",M192-I192)</f>
        <v/>
      </c>
      <c r="T192" s="24" t="str">
        <f aca="false">IF(OR(J192="",O192="",J192=0),"",O192/J192)</f>
        <v/>
      </c>
      <c r="U192" s="46" t="str">
        <f aca="false">IF(OR(J192="",G192="",G192=0),"",J192/G192)</f>
        <v/>
      </c>
      <c r="V192" s="46" t="str">
        <f aca="false">IF(OR(O192="",G192="",G192=0),"",O192/G192)</f>
        <v/>
      </c>
    </row>
    <row r="193" customFormat="false" ht="15" hidden="false" customHeight="false" outlineLevel="0" collapsed="false">
      <c r="A193" s="30"/>
      <c r="B193" s="30"/>
      <c r="C193" s="30"/>
      <c r="D193" s="30"/>
      <c r="E193" s="27"/>
      <c r="F193" s="47"/>
      <c r="G193" s="27"/>
      <c r="H193" s="30"/>
      <c r="I193" s="43"/>
      <c r="J193" s="41"/>
      <c r="K193" s="41"/>
      <c r="L193" s="30"/>
      <c r="M193" s="43"/>
      <c r="N193" s="43"/>
      <c r="O193" s="41"/>
      <c r="P193" s="43"/>
      <c r="Q193" s="30"/>
      <c r="R193" s="24" t="str">
        <f aca="false">IF(OR(J193="",K193="",J193=0),"",1-K193/J193)</f>
        <v/>
      </c>
      <c r="S193" s="45" t="str">
        <f aca="false">IF(OR(I193="",M193=""),"",M193-I193)</f>
        <v/>
      </c>
      <c r="T193" s="24" t="str">
        <f aca="false">IF(OR(J193="",O193="",J193=0),"",O193/J193)</f>
        <v/>
      </c>
      <c r="U193" s="46" t="str">
        <f aca="false">IF(OR(J193="",G193="",G193=0),"",J193/G193)</f>
        <v/>
      </c>
      <c r="V193" s="46" t="str">
        <f aca="false">IF(OR(O193="",G193="",G193=0),"",O193/G193)</f>
        <v/>
      </c>
    </row>
    <row r="194" customFormat="false" ht="15" hidden="false" customHeight="false" outlineLevel="0" collapsed="false">
      <c r="A194" s="30"/>
      <c r="B194" s="30"/>
      <c r="C194" s="30"/>
      <c r="D194" s="30"/>
      <c r="E194" s="27"/>
      <c r="F194" s="47"/>
      <c r="G194" s="27"/>
      <c r="H194" s="30"/>
      <c r="I194" s="43"/>
      <c r="J194" s="41"/>
      <c r="K194" s="41"/>
      <c r="L194" s="30"/>
      <c r="M194" s="43"/>
      <c r="N194" s="43"/>
      <c r="O194" s="41"/>
      <c r="P194" s="43"/>
      <c r="Q194" s="30"/>
      <c r="R194" s="24" t="str">
        <f aca="false">IF(OR(J194="",K194="",J194=0),"",1-K194/J194)</f>
        <v/>
      </c>
      <c r="S194" s="45" t="str">
        <f aca="false">IF(OR(I194="",M194=""),"",M194-I194)</f>
        <v/>
      </c>
      <c r="T194" s="24" t="str">
        <f aca="false">IF(OR(J194="",O194="",J194=0),"",O194/J194)</f>
        <v/>
      </c>
      <c r="U194" s="46" t="str">
        <f aca="false">IF(OR(J194="",G194="",G194=0),"",J194/G194)</f>
        <v/>
      </c>
      <c r="V194" s="46" t="str">
        <f aca="false">IF(OR(O194="",G194="",G194=0),"",O194/G194)</f>
        <v/>
      </c>
    </row>
    <row r="195" customFormat="false" ht="15" hidden="false" customHeight="false" outlineLevel="0" collapsed="false">
      <c r="A195" s="30"/>
      <c r="B195" s="30"/>
      <c r="C195" s="30"/>
      <c r="D195" s="30"/>
      <c r="E195" s="27"/>
      <c r="F195" s="47"/>
      <c r="G195" s="27"/>
      <c r="H195" s="30"/>
      <c r="I195" s="43"/>
      <c r="J195" s="41"/>
      <c r="K195" s="41"/>
      <c r="L195" s="30"/>
      <c r="M195" s="43"/>
      <c r="N195" s="43"/>
      <c r="O195" s="41"/>
      <c r="P195" s="43"/>
      <c r="Q195" s="30"/>
      <c r="R195" s="24" t="str">
        <f aca="false">IF(OR(J195="",K195="",J195=0),"",1-K195/J195)</f>
        <v/>
      </c>
      <c r="S195" s="45" t="str">
        <f aca="false">IF(OR(I195="",M195=""),"",M195-I195)</f>
        <v/>
      </c>
      <c r="T195" s="24" t="str">
        <f aca="false">IF(OR(J195="",O195="",J195=0),"",O195/J195)</f>
        <v/>
      </c>
      <c r="U195" s="46" t="str">
        <f aca="false">IF(OR(J195="",G195="",G195=0),"",J195/G195)</f>
        <v/>
      </c>
      <c r="V195" s="46" t="str">
        <f aca="false">IF(OR(O195="",G195="",G195=0),"",O195/G195)</f>
        <v/>
      </c>
    </row>
    <row r="196" customFormat="false" ht="15" hidden="false" customHeight="false" outlineLevel="0" collapsed="false">
      <c r="A196" s="30"/>
      <c r="B196" s="30"/>
      <c r="C196" s="30"/>
      <c r="D196" s="30"/>
      <c r="E196" s="27"/>
      <c r="F196" s="47"/>
      <c r="G196" s="27"/>
      <c r="H196" s="30"/>
      <c r="I196" s="43"/>
      <c r="J196" s="41"/>
      <c r="K196" s="41"/>
      <c r="L196" s="30"/>
      <c r="M196" s="43"/>
      <c r="N196" s="43"/>
      <c r="O196" s="41"/>
      <c r="P196" s="43"/>
      <c r="Q196" s="30"/>
      <c r="R196" s="24" t="str">
        <f aca="false">IF(OR(J196="",K196="",J196=0),"",1-K196/J196)</f>
        <v/>
      </c>
      <c r="S196" s="45" t="str">
        <f aca="false">IF(OR(I196="",M196=""),"",M196-I196)</f>
        <v/>
      </c>
      <c r="T196" s="24" t="str">
        <f aca="false">IF(OR(J196="",O196="",J196=0),"",O196/J196)</f>
        <v/>
      </c>
      <c r="U196" s="46" t="str">
        <f aca="false">IF(OR(J196="",G196="",G196=0),"",J196/G196)</f>
        <v/>
      </c>
      <c r="V196" s="46" t="str">
        <f aca="false">IF(OR(O196="",G196="",G196=0),"",O196/G196)</f>
        <v/>
      </c>
    </row>
    <row r="197" customFormat="false" ht="15" hidden="false" customHeight="false" outlineLevel="0" collapsed="false">
      <c r="A197" s="30"/>
      <c r="B197" s="30"/>
      <c r="C197" s="30"/>
      <c r="D197" s="30"/>
      <c r="E197" s="27"/>
      <c r="F197" s="47"/>
      <c r="G197" s="27"/>
      <c r="H197" s="30"/>
      <c r="I197" s="43"/>
      <c r="J197" s="41"/>
      <c r="K197" s="41"/>
      <c r="L197" s="30"/>
      <c r="M197" s="43"/>
      <c r="N197" s="43"/>
      <c r="O197" s="41"/>
      <c r="P197" s="43"/>
      <c r="Q197" s="30"/>
      <c r="R197" s="24" t="str">
        <f aca="false">IF(OR(J197="",K197="",J197=0),"",1-K197/J197)</f>
        <v/>
      </c>
      <c r="S197" s="45" t="str">
        <f aca="false">IF(OR(I197="",M197=""),"",M197-I197)</f>
        <v/>
      </c>
      <c r="T197" s="24" t="str">
        <f aca="false">IF(OR(J197="",O197="",J197=0),"",O197/J197)</f>
        <v/>
      </c>
      <c r="U197" s="46" t="str">
        <f aca="false">IF(OR(J197="",G197="",G197=0),"",J197/G197)</f>
        <v/>
      </c>
      <c r="V197" s="46" t="str">
        <f aca="false">IF(OR(O197="",G197="",G197=0),"",O197/G197)</f>
        <v/>
      </c>
    </row>
    <row r="198" customFormat="false" ht="15" hidden="false" customHeight="false" outlineLevel="0" collapsed="false">
      <c r="A198" s="30"/>
      <c r="B198" s="30"/>
      <c r="C198" s="30"/>
      <c r="D198" s="30"/>
      <c r="E198" s="27"/>
      <c r="F198" s="47"/>
      <c r="G198" s="27"/>
      <c r="H198" s="30"/>
      <c r="I198" s="43"/>
      <c r="J198" s="41"/>
      <c r="K198" s="41"/>
      <c r="L198" s="30"/>
      <c r="M198" s="43"/>
      <c r="N198" s="43"/>
      <c r="O198" s="41"/>
      <c r="P198" s="43"/>
      <c r="Q198" s="30"/>
      <c r="R198" s="24" t="str">
        <f aca="false">IF(OR(J198="",K198="",J198=0),"",1-K198/J198)</f>
        <v/>
      </c>
      <c r="S198" s="45" t="str">
        <f aca="false">IF(OR(I198="",M198=""),"",M198-I198)</f>
        <v/>
      </c>
      <c r="T198" s="24" t="str">
        <f aca="false">IF(OR(J198="",O198="",J198=0),"",O198/J198)</f>
        <v/>
      </c>
      <c r="U198" s="46" t="str">
        <f aca="false">IF(OR(J198="",G198="",G198=0),"",J198/G198)</f>
        <v/>
      </c>
      <c r="V198" s="46" t="str">
        <f aca="false">IF(OR(O198="",G198="",G198=0),"",O198/G198)</f>
        <v/>
      </c>
    </row>
    <row r="199" customFormat="false" ht="15" hidden="false" customHeight="false" outlineLevel="0" collapsed="false">
      <c r="A199" s="30"/>
      <c r="B199" s="30"/>
      <c r="C199" s="30"/>
      <c r="D199" s="30"/>
      <c r="E199" s="27"/>
      <c r="F199" s="47"/>
      <c r="G199" s="27"/>
      <c r="H199" s="30"/>
      <c r="I199" s="43"/>
      <c r="J199" s="41"/>
      <c r="K199" s="41"/>
      <c r="L199" s="30"/>
      <c r="M199" s="43"/>
      <c r="N199" s="43"/>
      <c r="O199" s="41"/>
      <c r="P199" s="43"/>
      <c r="Q199" s="30"/>
      <c r="R199" s="24" t="str">
        <f aca="false">IF(OR(J199="",K199="",J199=0),"",1-K199/J199)</f>
        <v/>
      </c>
      <c r="S199" s="45" t="str">
        <f aca="false">IF(OR(I199="",M199=""),"",M199-I199)</f>
        <v/>
      </c>
      <c r="T199" s="24" t="str">
        <f aca="false">IF(OR(J199="",O199="",J199=0),"",O199/J199)</f>
        <v/>
      </c>
      <c r="U199" s="46" t="str">
        <f aca="false">IF(OR(J199="",G199="",G199=0),"",J199/G199)</f>
        <v/>
      </c>
      <c r="V199" s="46" t="str">
        <f aca="false">IF(OR(O199="",G199="",G199=0),"",O199/G199)</f>
        <v/>
      </c>
    </row>
    <row r="200" customFormat="false" ht="15" hidden="false" customHeight="false" outlineLevel="0" collapsed="false">
      <c r="A200" s="30"/>
      <c r="B200" s="30"/>
      <c r="C200" s="30"/>
      <c r="D200" s="30"/>
      <c r="E200" s="27"/>
      <c r="F200" s="47"/>
      <c r="G200" s="27"/>
      <c r="H200" s="30"/>
      <c r="I200" s="43"/>
      <c r="J200" s="41"/>
      <c r="K200" s="41"/>
      <c r="L200" s="30"/>
      <c r="M200" s="43"/>
      <c r="N200" s="43"/>
      <c r="O200" s="41"/>
      <c r="P200" s="43"/>
      <c r="Q200" s="30"/>
      <c r="R200" s="24" t="str">
        <f aca="false">IF(OR(J200="",K200="",J200=0),"",1-K200/J200)</f>
        <v/>
      </c>
      <c r="S200" s="45" t="str">
        <f aca="false">IF(OR(I200="",M200=""),"",M200-I200)</f>
        <v/>
      </c>
      <c r="T200" s="24" t="str">
        <f aca="false">IF(OR(J200="",O200="",J200=0),"",O200/J200)</f>
        <v/>
      </c>
      <c r="U200" s="46" t="str">
        <f aca="false">IF(OR(J200="",G200="",G200=0),"",J200/G200)</f>
        <v/>
      </c>
      <c r="V200" s="46" t="str">
        <f aca="false">IF(OR(O200="",G200="",G200=0),"",O200/G200)</f>
        <v/>
      </c>
    </row>
    <row r="201" customFormat="false" ht="15" hidden="false" customHeight="false" outlineLevel="0" collapsed="false">
      <c r="A201" s="30"/>
      <c r="B201" s="30"/>
      <c r="C201" s="30"/>
      <c r="D201" s="30"/>
      <c r="E201" s="27"/>
      <c r="F201" s="47"/>
      <c r="G201" s="27"/>
      <c r="H201" s="30"/>
      <c r="I201" s="43"/>
      <c r="J201" s="41"/>
      <c r="K201" s="41"/>
      <c r="L201" s="30"/>
      <c r="M201" s="43"/>
      <c r="N201" s="43"/>
      <c r="O201" s="41"/>
      <c r="P201" s="43"/>
      <c r="Q201" s="30"/>
      <c r="R201" s="24" t="str">
        <f aca="false">IF(OR(J201="",K201="",J201=0),"",1-K201/J201)</f>
        <v/>
      </c>
      <c r="S201" s="45" t="str">
        <f aca="false">IF(OR(I201="",M201=""),"",M201-I201)</f>
        <v/>
      </c>
      <c r="T201" s="24" t="str">
        <f aca="false">IF(OR(J201="",O201="",J201=0),"",O201/J201)</f>
        <v/>
      </c>
      <c r="U201" s="46" t="str">
        <f aca="false">IF(OR(J201="",G201="",G201=0),"",J201/G201)</f>
        <v/>
      </c>
      <c r="V201" s="46" t="str">
        <f aca="false">IF(OR(O201="",G201="",G201=0),"",O201/G201)</f>
        <v/>
      </c>
    </row>
    <row r="202" customFormat="false" ht="15" hidden="false" customHeight="false" outlineLevel="0" collapsed="false">
      <c r="A202" s="30"/>
      <c r="B202" s="30"/>
      <c r="C202" s="30"/>
      <c r="D202" s="30"/>
      <c r="E202" s="27"/>
      <c r="F202" s="47"/>
      <c r="G202" s="27"/>
      <c r="H202" s="30"/>
      <c r="I202" s="43"/>
      <c r="J202" s="41"/>
      <c r="K202" s="41"/>
      <c r="L202" s="30"/>
      <c r="M202" s="43"/>
      <c r="N202" s="43"/>
      <c r="O202" s="41"/>
      <c r="P202" s="43"/>
      <c r="Q202" s="30"/>
      <c r="R202" s="24" t="str">
        <f aca="false">IF(OR(J202="",K202="",J202=0),"",1-K202/J202)</f>
        <v/>
      </c>
      <c r="S202" s="45" t="str">
        <f aca="false">IF(OR(I202="",M202=""),"",M202-I202)</f>
        <v/>
      </c>
      <c r="T202" s="24" t="str">
        <f aca="false">IF(OR(J202="",O202="",J202=0),"",O202/J202)</f>
        <v/>
      </c>
      <c r="U202" s="46" t="str">
        <f aca="false">IF(OR(J202="",G202="",G202=0),"",J202/G202)</f>
        <v/>
      </c>
      <c r="V202" s="46" t="str">
        <f aca="false">IF(OR(O202="",G202="",G202=0),"",O202/G202)</f>
        <v/>
      </c>
    </row>
    <row r="203" customFormat="false" ht="15" hidden="false" customHeight="false" outlineLevel="0" collapsed="false">
      <c r="A203" s="30"/>
      <c r="B203" s="30"/>
      <c r="C203" s="30"/>
      <c r="D203" s="30"/>
      <c r="E203" s="27"/>
      <c r="F203" s="47"/>
      <c r="G203" s="27"/>
      <c r="H203" s="30"/>
      <c r="I203" s="43"/>
      <c r="J203" s="41"/>
      <c r="K203" s="41"/>
      <c r="L203" s="30"/>
      <c r="M203" s="43"/>
      <c r="N203" s="43"/>
      <c r="O203" s="41"/>
      <c r="P203" s="43"/>
      <c r="Q203" s="30"/>
      <c r="R203" s="24" t="str">
        <f aca="false">IF(OR(J203="",K203="",J203=0),"",1-K203/J203)</f>
        <v/>
      </c>
      <c r="S203" s="45" t="str">
        <f aca="false">IF(OR(I203="",M203=""),"",M203-I203)</f>
        <v/>
      </c>
      <c r="T203" s="24" t="str">
        <f aca="false">IF(OR(J203="",O203="",J203=0),"",O203/J203)</f>
        <v/>
      </c>
      <c r="U203" s="46" t="str">
        <f aca="false">IF(OR(J203="",G203="",G203=0),"",J203/G203)</f>
        <v/>
      </c>
      <c r="V203" s="46" t="str">
        <f aca="false">IF(OR(O203="",G203="",G203=0),"",O203/G203)</f>
        <v/>
      </c>
    </row>
    <row r="204" customFormat="false" ht="15" hidden="false" customHeight="false" outlineLevel="0" collapsed="false">
      <c r="A204" s="30"/>
      <c r="B204" s="30"/>
      <c r="C204" s="30"/>
      <c r="D204" s="30"/>
      <c r="E204" s="27"/>
      <c r="F204" s="47"/>
      <c r="G204" s="27"/>
      <c r="H204" s="30"/>
      <c r="I204" s="43"/>
      <c r="J204" s="41"/>
      <c r="K204" s="41"/>
      <c r="L204" s="30"/>
      <c r="M204" s="43"/>
      <c r="N204" s="43"/>
      <c r="O204" s="41"/>
      <c r="P204" s="43"/>
      <c r="Q204" s="30"/>
      <c r="R204" s="24" t="str">
        <f aca="false">IF(OR(J204="",K204="",J204=0),"",1-K204/J204)</f>
        <v/>
      </c>
      <c r="S204" s="45" t="str">
        <f aca="false">IF(OR(I204="",M204=""),"",M204-I204)</f>
        <v/>
      </c>
      <c r="T204" s="24" t="str">
        <f aca="false">IF(OR(J204="",O204="",J204=0),"",O204/J204)</f>
        <v/>
      </c>
      <c r="U204" s="46" t="str">
        <f aca="false">IF(OR(J204="",G204="",G204=0),"",J204/G204)</f>
        <v/>
      </c>
      <c r="V204" s="46" t="str">
        <f aca="false">IF(OR(O204="",G204="",G204=0),"",O204/G204)</f>
        <v/>
      </c>
    </row>
    <row r="205" customFormat="false" ht="15" hidden="false" customHeight="false" outlineLevel="0" collapsed="false">
      <c r="A205" s="30"/>
      <c r="B205" s="30"/>
      <c r="C205" s="30"/>
      <c r="D205" s="30"/>
      <c r="E205" s="27"/>
      <c r="F205" s="47"/>
      <c r="G205" s="27"/>
      <c r="H205" s="30"/>
      <c r="I205" s="43"/>
      <c r="J205" s="41"/>
      <c r="K205" s="41"/>
      <c r="L205" s="30"/>
      <c r="M205" s="43"/>
      <c r="N205" s="43"/>
      <c r="O205" s="41"/>
      <c r="P205" s="43"/>
      <c r="Q205" s="30"/>
      <c r="R205" s="24" t="str">
        <f aca="false">IF(OR(J205="",K205="",J205=0),"",1-K205/J205)</f>
        <v/>
      </c>
      <c r="S205" s="45" t="str">
        <f aca="false">IF(OR(I205="",M205=""),"",M205-I205)</f>
        <v/>
      </c>
      <c r="T205" s="24" t="str">
        <f aca="false">IF(OR(J205="",O205="",J205=0),"",O205/J205)</f>
        <v/>
      </c>
      <c r="U205" s="46" t="str">
        <f aca="false">IF(OR(J205="",G205="",G205=0),"",J205/G205)</f>
        <v/>
      </c>
      <c r="V205" s="46" t="str">
        <f aca="false">IF(OR(O205="",G205="",G205=0),"",O205/G205)</f>
        <v/>
      </c>
    </row>
    <row r="206" customFormat="false" ht="15" hidden="false" customHeight="false" outlineLevel="0" collapsed="false">
      <c r="A206" s="30"/>
      <c r="B206" s="30"/>
      <c r="C206" s="30"/>
      <c r="D206" s="30"/>
      <c r="E206" s="27"/>
      <c r="F206" s="47"/>
      <c r="G206" s="27"/>
      <c r="H206" s="30"/>
      <c r="I206" s="43"/>
      <c r="J206" s="41"/>
      <c r="K206" s="41"/>
      <c r="L206" s="30"/>
      <c r="M206" s="43"/>
      <c r="N206" s="43"/>
      <c r="O206" s="41"/>
      <c r="P206" s="43"/>
      <c r="Q206" s="30"/>
      <c r="R206" s="24" t="str">
        <f aca="false">IF(OR(J206="",K206="",J206=0),"",1-K206/J206)</f>
        <v/>
      </c>
      <c r="S206" s="45" t="str">
        <f aca="false">IF(OR(I206="",M206=""),"",M206-I206)</f>
        <v/>
      </c>
      <c r="T206" s="24" t="str">
        <f aca="false">IF(OR(J206="",O206="",J206=0),"",O206/J206)</f>
        <v/>
      </c>
      <c r="U206" s="46" t="str">
        <f aca="false">IF(OR(J206="",G206="",G206=0),"",J206/G206)</f>
        <v/>
      </c>
      <c r="V206" s="46" t="str">
        <f aca="false">IF(OR(O206="",G206="",G206=0),"",O206/G206)</f>
        <v/>
      </c>
    </row>
    <row r="207" customFormat="false" ht="15" hidden="false" customHeight="false" outlineLevel="0" collapsed="false">
      <c r="A207" s="30"/>
      <c r="B207" s="30"/>
      <c r="C207" s="30"/>
      <c r="D207" s="30"/>
      <c r="E207" s="27"/>
      <c r="F207" s="47"/>
      <c r="G207" s="27"/>
      <c r="H207" s="30"/>
      <c r="I207" s="43"/>
      <c r="J207" s="41"/>
      <c r="K207" s="41"/>
      <c r="L207" s="30"/>
      <c r="M207" s="43"/>
      <c r="N207" s="43"/>
      <c r="O207" s="41"/>
      <c r="P207" s="43"/>
      <c r="Q207" s="30"/>
      <c r="R207" s="24" t="str">
        <f aca="false">IF(OR(J207="",K207="",J207=0),"",1-K207/J207)</f>
        <v/>
      </c>
      <c r="S207" s="45" t="str">
        <f aca="false">IF(OR(I207="",M207=""),"",M207-I207)</f>
        <v/>
      </c>
      <c r="T207" s="24" t="str">
        <f aca="false">IF(OR(J207="",O207="",J207=0),"",O207/J207)</f>
        <v/>
      </c>
      <c r="U207" s="46" t="str">
        <f aca="false">IF(OR(J207="",G207="",G207=0),"",J207/G207)</f>
        <v/>
      </c>
      <c r="V207" s="46" t="str">
        <f aca="false">IF(OR(O207="",G207="",G207=0),"",O207/G207)</f>
        <v/>
      </c>
    </row>
    <row r="208" customFormat="false" ht="15" hidden="false" customHeight="false" outlineLevel="0" collapsed="false">
      <c r="A208" s="30"/>
      <c r="B208" s="30"/>
      <c r="C208" s="30"/>
      <c r="D208" s="30"/>
      <c r="E208" s="27"/>
      <c r="F208" s="47"/>
      <c r="G208" s="27"/>
      <c r="H208" s="30"/>
      <c r="I208" s="43"/>
      <c r="J208" s="41"/>
      <c r="K208" s="41"/>
      <c r="L208" s="30"/>
      <c r="M208" s="43"/>
      <c r="N208" s="43"/>
      <c r="O208" s="41"/>
      <c r="P208" s="43"/>
      <c r="Q208" s="30"/>
      <c r="R208" s="24" t="str">
        <f aca="false">IF(OR(J208="",K208="",J208=0),"",1-K208/J208)</f>
        <v/>
      </c>
      <c r="S208" s="45" t="str">
        <f aca="false">IF(OR(I208="",M208=""),"",M208-I208)</f>
        <v/>
      </c>
      <c r="T208" s="24" t="str">
        <f aca="false">IF(OR(J208="",O208="",J208=0),"",O208/J208)</f>
        <v/>
      </c>
      <c r="U208" s="46" t="str">
        <f aca="false">IF(OR(J208="",G208="",G208=0),"",J208/G208)</f>
        <v/>
      </c>
      <c r="V208" s="46" t="str">
        <f aca="false">IF(OR(O208="",G208="",G208=0),"",O208/G208)</f>
        <v/>
      </c>
    </row>
    <row r="209" customFormat="false" ht="15" hidden="false" customHeight="false" outlineLevel="0" collapsed="false">
      <c r="A209" s="30"/>
      <c r="B209" s="30"/>
      <c r="C209" s="30"/>
      <c r="D209" s="30"/>
      <c r="E209" s="27"/>
      <c r="F209" s="47"/>
      <c r="G209" s="27"/>
      <c r="H209" s="30"/>
      <c r="I209" s="43"/>
      <c r="J209" s="41"/>
      <c r="K209" s="41"/>
      <c r="L209" s="30"/>
      <c r="M209" s="43"/>
      <c r="N209" s="43"/>
      <c r="O209" s="41"/>
      <c r="P209" s="43"/>
      <c r="Q209" s="30"/>
      <c r="R209" s="24" t="str">
        <f aca="false">IF(OR(J209="",K209="",J209=0),"",1-K209/J209)</f>
        <v/>
      </c>
      <c r="S209" s="45" t="str">
        <f aca="false">IF(OR(I209="",M209=""),"",M209-I209)</f>
        <v/>
      </c>
      <c r="T209" s="24" t="str">
        <f aca="false">IF(OR(J209="",O209="",J209=0),"",O209/J209)</f>
        <v/>
      </c>
      <c r="U209" s="46" t="str">
        <f aca="false">IF(OR(J209="",G209="",G209=0),"",J209/G209)</f>
        <v/>
      </c>
      <c r="V209" s="46" t="str">
        <f aca="false">IF(OR(O209="",G209="",G209=0),"",O209/G209)</f>
        <v/>
      </c>
    </row>
    <row r="210" customFormat="false" ht="15" hidden="false" customHeight="false" outlineLevel="0" collapsed="false">
      <c r="A210" s="30"/>
      <c r="B210" s="30"/>
      <c r="C210" s="30"/>
      <c r="D210" s="30"/>
      <c r="E210" s="27"/>
      <c r="F210" s="47"/>
      <c r="G210" s="27"/>
      <c r="H210" s="30"/>
      <c r="I210" s="43"/>
      <c r="J210" s="41"/>
      <c r="K210" s="41"/>
      <c r="L210" s="30"/>
      <c r="M210" s="43"/>
      <c r="N210" s="43"/>
      <c r="O210" s="41"/>
      <c r="P210" s="43"/>
      <c r="Q210" s="30"/>
      <c r="R210" s="24" t="str">
        <f aca="false">IF(OR(J210="",K210="",J210=0),"",1-K210/J210)</f>
        <v/>
      </c>
      <c r="S210" s="45" t="str">
        <f aca="false">IF(OR(I210="",M210=""),"",M210-I210)</f>
        <v/>
      </c>
      <c r="T210" s="24" t="str">
        <f aca="false">IF(OR(J210="",O210="",J210=0),"",O210/J210)</f>
        <v/>
      </c>
      <c r="U210" s="46" t="str">
        <f aca="false">IF(OR(J210="",G210="",G210=0),"",J210/G210)</f>
        <v/>
      </c>
      <c r="V210" s="46" t="str">
        <f aca="false">IF(OR(O210="",G210="",G210=0),"",O210/G210)</f>
        <v/>
      </c>
    </row>
    <row r="211" customFormat="false" ht="15" hidden="false" customHeight="false" outlineLevel="0" collapsed="false">
      <c r="A211" s="30"/>
      <c r="B211" s="30"/>
      <c r="C211" s="30"/>
      <c r="D211" s="30"/>
      <c r="E211" s="27"/>
      <c r="F211" s="47"/>
      <c r="G211" s="27"/>
      <c r="H211" s="30"/>
      <c r="I211" s="43"/>
      <c r="J211" s="41"/>
      <c r="K211" s="41"/>
      <c r="L211" s="30"/>
      <c r="M211" s="43"/>
      <c r="N211" s="43"/>
      <c r="O211" s="41"/>
      <c r="P211" s="43"/>
      <c r="Q211" s="30"/>
      <c r="R211" s="24" t="str">
        <f aca="false">IF(OR(J211="",K211="",J211=0),"",1-K211/J211)</f>
        <v/>
      </c>
      <c r="S211" s="45" t="str">
        <f aca="false">IF(OR(I211="",M211=""),"",M211-I211)</f>
        <v/>
      </c>
      <c r="T211" s="24" t="str">
        <f aca="false">IF(OR(J211="",O211="",J211=0),"",O211/J211)</f>
        <v/>
      </c>
      <c r="U211" s="46" t="str">
        <f aca="false">IF(OR(J211="",G211="",G211=0),"",J211/G211)</f>
        <v/>
      </c>
      <c r="V211" s="46" t="str">
        <f aca="false">IF(OR(O211="",G211="",G211=0),"",O211/G211)</f>
        <v/>
      </c>
    </row>
    <row r="212" customFormat="false" ht="15" hidden="false" customHeight="false" outlineLevel="0" collapsed="false">
      <c r="A212" s="30"/>
      <c r="B212" s="30"/>
      <c r="C212" s="30"/>
      <c r="D212" s="30"/>
      <c r="E212" s="27"/>
      <c r="F212" s="47"/>
      <c r="G212" s="27"/>
      <c r="H212" s="30"/>
      <c r="I212" s="43"/>
      <c r="J212" s="41"/>
      <c r="K212" s="41"/>
      <c r="L212" s="30"/>
      <c r="M212" s="43"/>
      <c r="N212" s="43"/>
      <c r="O212" s="41"/>
      <c r="P212" s="43"/>
      <c r="Q212" s="30"/>
      <c r="R212" s="24" t="str">
        <f aca="false">IF(OR(J212="",K212="",J212=0),"",1-K212/J212)</f>
        <v/>
      </c>
      <c r="S212" s="45" t="str">
        <f aca="false">IF(OR(I212="",M212=""),"",M212-I212)</f>
        <v/>
      </c>
      <c r="T212" s="24" t="str">
        <f aca="false">IF(OR(J212="",O212="",J212=0),"",O212/J212)</f>
        <v/>
      </c>
      <c r="U212" s="46" t="str">
        <f aca="false">IF(OR(J212="",G212="",G212=0),"",J212/G212)</f>
        <v/>
      </c>
      <c r="V212" s="46" t="str">
        <f aca="false">IF(OR(O212="",G212="",G212=0),"",O212/G212)</f>
        <v/>
      </c>
    </row>
    <row r="213" customFormat="false" ht="15" hidden="false" customHeight="false" outlineLevel="0" collapsed="false">
      <c r="A213" s="30"/>
      <c r="B213" s="30"/>
      <c r="C213" s="30"/>
      <c r="D213" s="30"/>
      <c r="E213" s="27"/>
      <c r="F213" s="47"/>
      <c r="G213" s="27"/>
      <c r="H213" s="30"/>
      <c r="I213" s="43"/>
      <c r="J213" s="41"/>
      <c r="K213" s="41"/>
      <c r="L213" s="30"/>
      <c r="M213" s="43"/>
      <c r="N213" s="43"/>
      <c r="O213" s="41"/>
      <c r="P213" s="43"/>
      <c r="Q213" s="30"/>
      <c r="R213" s="24" t="str">
        <f aca="false">IF(OR(J213="",K213="",J213=0),"",1-K213/J213)</f>
        <v/>
      </c>
      <c r="S213" s="45" t="str">
        <f aca="false">IF(OR(I213="",M213=""),"",M213-I213)</f>
        <v/>
      </c>
      <c r="T213" s="24" t="str">
        <f aca="false">IF(OR(J213="",O213="",J213=0),"",O213/J213)</f>
        <v/>
      </c>
      <c r="U213" s="46" t="str">
        <f aca="false">IF(OR(J213="",G213="",G213=0),"",J213/G213)</f>
        <v/>
      </c>
      <c r="V213" s="46" t="str">
        <f aca="false">IF(OR(O213="",G213="",G213=0),"",O213/G213)</f>
        <v/>
      </c>
    </row>
    <row r="214" customFormat="false" ht="15" hidden="false" customHeight="false" outlineLevel="0" collapsed="false">
      <c r="A214" s="30"/>
      <c r="B214" s="30"/>
      <c r="C214" s="30"/>
      <c r="D214" s="30"/>
      <c r="E214" s="27"/>
      <c r="F214" s="47"/>
      <c r="G214" s="27"/>
      <c r="H214" s="30"/>
      <c r="I214" s="43"/>
      <c r="J214" s="41"/>
      <c r="K214" s="41"/>
      <c r="L214" s="30"/>
      <c r="M214" s="43"/>
      <c r="N214" s="43"/>
      <c r="O214" s="41"/>
      <c r="P214" s="43"/>
      <c r="Q214" s="30"/>
      <c r="R214" s="24" t="str">
        <f aca="false">IF(OR(J214="",K214="",J214=0),"",1-K214/J214)</f>
        <v/>
      </c>
      <c r="S214" s="45" t="str">
        <f aca="false">IF(OR(I214="",M214=""),"",M214-I214)</f>
        <v/>
      </c>
      <c r="T214" s="24" t="str">
        <f aca="false">IF(OR(J214="",O214="",J214=0),"",O214/J214)</f>
        <v/>
      </c>
      <c r="U214" s="46" t="str">
        <f aca="false">IF(OR(J214="",G214="",G214=0),"",J214/G214)</f>
        <v/>
      </c>
      <c r="V214" s="46" t="str">
        <f aca="false">IF(OR(O214="",G214="",G214=0),"",O214/G214)</f>
        <v/>
      </c>
    </row>
    <row r="215" customFormat="false" ht="15" hidden="false" customHeight="false" outlineLevel="0" collapsed="false">
      <c r="A215" s="30"/>
      <c r="B215" s="30"/>
      <c r="C215" s="30"/>
      <c r="D215" s="30"/>
      <c r="E215" s="27"/>
      <c r="F215" s="47"/>
      <c r="G215" s="27"/>
      <c r="H215" s="30"/>
      <c r="I215" s="43"/>
      <c r="J215" s="41"/>
      <c r="K215" s="41"/>
      <c r="L215" s="30"/>
      <c r="M215" s="43"/>
      <c r="N215" s="43"/>
      <c r="O215" s="41"/>
      <c r="P215" s="43"/>
      <c r="Q215" s="30"/>
      <c r="R215" s="24" t="str">
        <f aca="false">IF(OR(J215="",K215="",J215=0),"",1-K215/J215)</f>
        <v/>
      </c>
      <c r="S215" s="45" t="str">
        <f aca="false">IF(OR(I215="",M215=""),"",M215-I215)</f>
        <v/>
      </c>
      <c r="T215" s="24" t="str">
        <f aca="false">IF(OR(J215="",O215="",J215=0),"",O215/J215)</f>
        <v/>
      </c>
      <c r="U215" s="46" t="str">
        <f aca="false">IF(OR(J215="",G215="",G215=0),"",J215/G215)</f>
        <v/>
      </c>
      <c r="V215" s="46" t="str">
        <f aca="false">IF(OR(O215="",G215="",G215=0),"",O215/G215)</f>
        <v/>
      </c>
    </row>
    <row r="216" customFormat="false" ht="15" hidden="false" customHeight="false" outlineLevel="0" collapsed="false">
      <c r="A216" s="30"/>
      <c r="B216" s="30"/>
      <c r="C216" s="30"/>
      <c r="D216" s="30"/>
      <c r="E216" s="27"/>
      <c r="F216" s="47"/>
      <c r="G216" s="27"/>
      <c r="H216" s="30"/>
      <c r="I216" s="43"/>
      <c r="J216" s="41"/>
      <c r="K216" s="41"/>
      <c r="L216" s="30"/>
      <c r="M216" s="43"/>
      <c r="N216" s="43"/>
      <c r="O216" s="41"/>
      <c r="P216" s="43"/>
      <c r="Q216" s="30"/>
      <c r="R216" s="24" t="str">
        <f aca="false">IF(OR(J216="",K216="",J216=0),"",1-K216/J216)</f>
        <v/>
      </c>
      <c r="S216" s="45" t="str">
        <f aca="false">IF(OR(I216="",M216=""),"",M216-I216)</f>
        <v/>
      </c>
      <c r="T216" s="24" t="str">
        <f aca="false">IF(OR(J216="",O216="",J216=0),"",O216/J216)</f>
        <v/>
      </c>
      <c r="U216" s="46" t="str">
        <f aca="false">IF(OR(J216="",G216="",G216=0),"",J216/G216)</f>
        <v/>
      </c>
      <c r="V216" s="46" t="str">
        <f aca="false">IF(OR(O216="",G216="",G216=0),"",O216/G216)</f>
        <v/>
      </c>
    </row>
    <row r="217" customFormat="false" ht="15" hidden="false" customHeight="false" outlineLevel="0" collapsed="false">
      <c r="A217" s="30"/>
      <c r="B217" s="30"/>
      <c r="C217" s="30"/>
      <c r="D217" s="30"/>
      <c r="E217" s="27"/>
      <c r="F217" s="47"/>
      <c r="G217" s="27"/>
      <c r="H217" s="30"/>
      <c r="I217" s="43"/>
      <c r="J217" s="41"/>
      <c r="K217" s="41"/>
      <c r="L217" s="30"/>
      <c r="M217" s="43"/>
      <c r="N217" s="43"/>
      <c r="O217" s="41"/>
      <c r="P217" s="43"/>
      <c r="Q217" s="30"/>
      <c r="R217" s="24" t="str">
        <f aca="false">IF(OR(J217="",K217="",J217=0),"",1-K217/J217)</f>
        <v/>
      </c>
      <c r="S217" s="45" t="str">
        <f aca="false">IF(OR(I217="",M217=""),"",M217-I217)</f>
        <v/>
      </c>
      <c r="T217" s="24" t="str">
        <f aca="false">IF(OR(J217="",O217="",J217=0),"",O217/J217)</f>
        <v/>
      </c>
      <c r="U217" s="46" t="str">
        <f aca="false">IF(OR(J217="",G217="",G217=0),"",J217/G217)</f>
        <v/>
      </c>
      <c r="V217" s="46" t="str">
        <f aca="false">IF(OR(O217="",G217="",G217=0),"",O217/G217)</f>
        <v/>
      </c>
    </row>
    <row r="218" customFormat="false" ht="15" hidden="false" customHeight="false" outlineLevel="0" collapsed="false">
      <c r="A218" s="30"/>
      <c r="B218" s="30"/>
      <c r="C218" s="30"/>
      <c r="D218" s="30"/>
      <c r="E218" s="27"/>
      <c r="F218" s="47"/>
      <c r="G218" s="27"/>
      <c r="H218" s="30"/>
      <c r="I218" s="43"/>
      <c r="J218" s="41"/>
      <c r="K218" s="41"/>
      <c r="L218" s="30"/>
      <c r="M218" s="43"/>
      <c r="N218" s="43"/>
      <c r="O218" s="41"/>
      <c r="P218" s="43"/>
      <c r="Q218" s="30"/>
      <c r="R218" s="24" t="str">
        <f aca="false">IF(OR(J218="",K218="",J218=0),"",1-K218/J218)</f>
        <v/>
      </c>
      <c r="S218" s="45" t="str">
        <f aca="false">IF(OR(I218="",M218=""),"",M218-I218)</f>
        <v/>
      </c>
      <c r="T218" s="24" t="str">
        <f aca="false">IF(OR(J218="",O218="",J218=0),"",O218/J218)</f>
        <v/>
      </c>
      <c r="U218" s="46" t="str">
        <f aca="false">IF(OR(J218="",G218="",G218=0),"",J218/G218)</f>
        <v/>
      </c>
      <c r="V218" s="46" t="str">
        <f aca="false">IF(OR(O218="",G218="",G218=0),"",O218/G218)</f>
        <v/>
      </c>
    </row>
    <row r="219" customFormat="false" ht="15" hidden="false" customHeight="false" outlineLevel="0" collapsed="false">
      <c r="A219" s="30"/>
      <c r="B219" s="30"/>
      <c r="C219" s="30"/>
      <c r="D219" s="30"/>
      <c r="E219" s="27"/>
      <c r="F219" s="47"/>
      <c r="G219" s="27"/>
      <c r="H219" s="30"/>
      <c r="I219" s="43"/>
      <c r="J219" s="41"/>
      <c r="K219" s="41"/>
      <c r="L219" s="30"/>
      <c r="M219" s="43"/>
      <c r="N219" s="43"/>
      <c r="O219" s="41"/>
      <c r="P219" s="43"/>
      <c r="Q219" s="30"/>
      <c r="R219" s="24" t="str">
        <f aca="false">IF(OR(J219="",K219="",J219=0),"",1-K219/J219)</f>
        <v/>
      </c>
      <c r="S219" s="45" t="str">
        <f aca="false">IF(OR(I219="",M219=""),"",M219-I219)</f>
        <v/>
      </c>
      <c r="T219" s="24" t="str">
        <f aca="false">IF(OR(J219="",O219="",J219=0),"",O219/J219)</f>
        <v/>
      </c>
      <c r="U219" s="46" t="str">
        <f aca="false">IF(OR(J219="",G219="",G219=0),"",J219/G219)</f>
        <v/>
      </c>
      <c r="V219" s="46" t="str">
        <f aca="false">IF(OR(O219="",G219="",G219=0),"",O219/G219)</f>
        <v/>
      </c>
    </row>
    <row r="220" customFormat="false" ht="15" hidden="false" customHeight="false" outlineLevel="0" collapsed="false">
      <c r="A220" s="30"/>
      <c r="B220" s="30"/>
      <c r="C220" s="30"/>
      <c r="D220" s="30"/>
      <c r="E220" s="27"/>
      <c r="F220" s="47"/>
      <c r="G220" s="27"/>
      <c r="H220" s="30"/>
      <c r="I220" s="43"/>
      <c r="J220" s="41"/>
      <c r="K220" s="41"/>
      <c r="L220" s="30"/>
      <c r="M220" s="43"/>
      <c r="N220" s="43"/>
      <c r="O220" s="41"/>
      <c r="P220" s="43"/>
      <c r="Q220" s="30"/>
      <c r="R220" s="24" t="str">
        <f aca="false">IF(OR(J220="",K220="",J220=0),"",1-K220/J220)</f>
        <v/>
      </c>
      <c r="S220" s="45" t="str">
        <f aca="false">IF(OR(I220="",M220=""),"",M220-I220)</f>
        <v/>
      </c>
      <c r="T220" s="24" t="str">
        <f aca="false">IF(OR(J220="",O220="",J220=0),"",O220/J220)</f>
        <v/>
      </c>
      <c r="U220" s="46" t="str">
        <f aca="false">IF(OR(J220="",G220="",G220=0),"",J220/G220)</f>
        <v/>
      </c>
      <c r="V220" s="46" t="str">
        <f aca="false">IF(OR(O220="",G220="",G220=0),"",O220/G220)</f>
        <v/>
      </c>
    </row>
    <row r="221" customFormat="false" ht="15" hidden="false" customHeight="false" outlineLevel="0" collapsed="false">
      <c r="A221" s="30"/>
      <c r="B221" s="30"/>
      <c r="C221" s="30"/>
      <c r="D221" s="30"/>
      <c r="E221" s="27"/>
      <c r="F221" s="47"/>
      <c r="G221" s="27"/>
      <c r="H221" s="30"/>
      <c r="I221" s="43"/>
      <c r="J221" s="41"/>
      <c r="K221" s="41"/>
      <c r="L221" s="30"/>
      <c r="M221" s="43"/>
      <c r="N221" s="43"/>
      <c r="O221" s="41"/>
      <c r="P221" s="43"/>
      <c r="Q221" s="30"/>
      <c r="R221" s="24" t="str">
        <f aca="false">IF(OR(J221="",K221="",J221=0),"",1-K221/J221)</f>
        <v/>
      </c>
      <c r="S221" s="45" t="str">
        <f aca="false">IF(OR(I221="",M221=""),"",M221-I221)</f>
        <v/>
      </c>
      <c r="T221" s="24" t="str">
        <f aca="false">IF(OR(J221="",O221="",J221=0),"",O221/J221)</f>
        <v/>
      </c>
      <c r="U221" s="46" t="str">
        <f aca="false">IF(OR(J221="",G221="",G221=0),"",J221/G221)</f>
        <v/>
      </c>
      <c r="V221" s="46" t="str">
        <f aca="false">IF(OR(O221="",G221="",G221=0),"",O221/G221)</f>
        <v/>
      </c>
    </row>
    <row r="222" customFormat="false" ht="15" hidden="false" customHeight="false" outlineLevel="0" collapsed="false">
      <c r="A222" s="30"/>
      <c r="B222" s="30"/>
      <c r="C222" s="30"/>
      <c r="D222" s="30"/>
      <c r="E222" s="27"/>
      <c r="F222" s="47"/>
      <c r="G222" s="27"/>
      <c r="H222" s="30"/>
      <c r="I222" s="43"/>
      <c r="J222" s="41"/>
      <c r="K222" s="41"/>
      <c r="L222" s="30"/>
      <c r="M222" s="43"/>
      <c r="N222" s="43"/>
      <c r="O222" s="41"/>
      <c r="P222" s="43"/>
      <c r="Q222" s="30"/>
      <c r="R222" s="24" t="str">
        <f aca="false">IF(OR(J222="",K222="",J222=0),"",1-K222/J222)</f>
        <v/>
      </c>
      <c r="S222" s="45" t="str">
        <f aca="false">IF(OR(I222="",M222=""),"",M222-I222)</f>
        <v/>
      </c>
      <c r="T222" s="24" t="str">
        <f aca="false">IF(OR(J222="",O222="",J222=0),"",O222/J222)</f>
        <v/>
      </c>
      <c r="U222" s="46" t="str">
        <f aca="false">IF(OR(J222="",G222="",G222=0),"",J222/G222)</f>
        <v/>
      </c>
      <c r="V222" s="46" t="str">
        <f aca="false">IF(OR(O222="",G222="",G222=0),"",O222/G222)</f>
        <v/>
      </c>
    </row>
    <row r="223" customFormat="false" ht="15" hidden="false" customHeight="false" outlineLevel="0" collapsed="false">
      <c r="A223" s="30"/>
      <c r="B223" s="30"/>
      <c r="C223" s="30"/>
      <c r="D223" s="30"/>
      <c r="E223" s="27"/>
      <c r="F223" s="47"/>
      <c r="G223" s="27"/>
      <c r="H223" s="30"/>
      <c r="I223" s="43"/>
      <c r="J223" s="41"/>
      <c r="K223" s="41"/>
      <c r="L223" s="30"/>
      <c r="M223" s="43"/>
      <c r="N223" s="43"/>
      <c r="O223" s="41"/>
      <c r="P223" s="43"/>
      <c r="Q223" s="30"/>
      <c r="R223" s="24" t="str">
        <f aca="false">IF(OR(J223="",K223="",J223=0),"",1-K223/J223)</f>
        <v/>
      </c>
      <c r="S223" s="45" t="str">
        <f aca="false">IF(OR(I223="",M223=""),"",M223-I223)</f>
        <v/>
      </c>
      <c r="T223" s="24" t="str">
        <f aca="false">IF(OR(J223="",O223="",J223=0),"",O223/J223)</f>
        <v/>
      </c>
      <c r="U223" s="46" t="str">
        <f aca="false">IF(OR(J223="",G223="",G223=0),"",J223/G223)</f>
        <v/>
      </c>
      <c r="V223" s="46" t="str">
        <f aca="false">IF(OR(O223="",G223="",G223=0),"",O223/G223)</f>
        <v/>
      </c>
    </row>
    <row r="224" customFormat="false" ht="15" hidden="false" customHeight="false" outlineLevel="0" collapsed="false">
      <c r="A224" s="30"/>
      <c r="B224" s="30"/>
      <c r="C224" s="30"/>
      <c r="D224" s="30"/>
      <c r="E224" s="27"/>
      <c r="F224" s="47"/>
      <c r="G224" s="27"/>
      <c r="H224" s="30"/>
      <c r="I224" s="43"/>
      <c r="J224" s="41"/>
      <c r="K224" s="41"/>
      <c r="L224" s="30"/>
      <c r="M224" s="43"/>
      <c r="N224" s="43"/>
      <c r="O224" s="41"/>
      <c r="P224" s="43"/>
      <c r="Q224" s="30"/>
      <c r="R224" s="24" t="str">
        <f aca="false">IF(OR(J224="",K224="",J224=0),"",1-K224/J224)</f>
        <v/>
      </c>
      <c r="S224" s="45" t="str">
        <f aca="false">IF(OR(I224="",M224=""),"",M224-I224)</f>
        <v/>
      </c>
      <c r="T224" s="24" t="str">
        <f aca="false">IF(OR(J224="",O224="",J224=0),"",O224/J224)</f>
        <v/>
      </c>
      <c r="U224" s="46" t="str">
        <f aca="false">IF(OR(J224="",G224="",G224=0),"",J224/G224)</f>
        <v/>
      </c>
      <c r="V224" s="46" t="str">
        <f aca="false">IF(OR(O224="",G224="",G224=0),"",O224/G224)</f>
        <v/>
      </c>
    </row>
    <row r="225" customFormat="false" ht="15" hidden="false" customHeight="false" outlineLevel="0" collapsed="false">
      <c r="A225" s="30"/>
      <c r="B225" s="30"/>
      <c r="C225" s="30"/>
      <c r="D225" s="30"/>
      <c r="E225" s="27"/>
      <c r="F225" s="47"/>
      <c r="G225" s="27"/>
      <c r="H225" s="30"/>
      <c r="I225" s="43"/>
      <c r="J225" s="41"/>
      <c r="K225" s="41"/>
      <c r="L225" s="30"/>
      <c r="M225" s="43"/>
      <c r="N225" s="43"/>
      <c r="O225" s="41"/>
      <c r="P225" s="43"/>
      <c r="Q225" s="30"/>
      <c r="R225" s="24" t="str">
        <f aca="false">IF(OR(J225="",K225="",J225=0),"",1-K225/J225)</f>
        <v/>
      </c>
      <c r="S225" s="45" t="str">
        <f aca="false">IF(OR(I225="",M225=""),"",M225-I225)</f>
        <v/>
      </c>
      <c r="T225" s="24" t="str">
        <f aca="false">IF(OR(J225="",O225="",J225=0),"",O225/J225)</f>
        <v/>
      </c>
      <c r="U225" s="46" t="str">
        <f aca="false">IF(OR(J225="",G225="",G225=0),"",J225/G225)</f>
        <v/>
      </c>
      <c r="V225" s="46" t="str">
        <f aca="false">IF(OR(O225="",G225="",G225=0),"",O225/G225)</f>
        <v/>
      </c>
    </row>
    <row r="226" customFormat="false" ht="15" hidden="false" customHeight="false" outlineLevel="0" collapsed="false">
      <c r="A226" s="30"/>
      <c r="B226" s="30"/>
      <c r="C226" s="30"/>
      <c r="D226" s="30"/>
      <c r="E226" s="27"/>
      <c r="F226" s="47"/>
      <c r="G226" s="27"/>
      <c r="H226" s="30"/>
      <c r="I226" s="43"/>
      <c r="J226" s="41"/>
      <c r="K226" s="41"/>
      <c r="L226" s="30"/>
      <c r="M226" s="43"/>
      <c r="N226" s="43"/>
      <c r="O226" s="41"/>
      <c r="P226" s="43"/>
      <c r="Q226" s="30"/>
      <c r="R226" s="24" t="str">
        <f aca="false">IF(OR(J226="",K226="",J226=0),"",1-K226/J226)</f>
        <v/>
      </c>
      <c r="S226" s="45" t="str">
        <f aca="false">IF(OR(I226="",M226=""),"",M226-I226)</f>
        <v/>
      </c>
      <c r="T226" s="24" t="str">
        <f aca="false">IF(OR(J226="",O226="",J226=0),"",O226/J226)</f>
        <v/>
      </c>
      <c r="U226" s="46" t="str">
        <f aca="false">IF(OR(J226="",G226="",G226=0),"",J226/G226)</f>
        <v/>
      </c>
      <c r="V226" s="46" t="str">
        <f aca="false">IF(OR(O226="",G226="",G226=0),"",O226/G226)</f>
        <v/>
      </c>
    </row>
    <row r="227" customFormat="false" ht="15" hidden="false" customHeight="false" outlineLevel="0" collapsed="false">
      <c r="A227" s="30"/>
      <c r="B227" s="30"/>
      <c r="C227" s="30"/>
      <c r="D227" s="30"/>
      <c r="E227" s="27"/>
      <c r="F227" s="47"/>
      <c r="G227" s="27"/>
      <c r="H227" s="30"/>
      <c r="I227" s="43"/>
      <c r="J227" s="41"/>
      <c r="K227" s="41"/>
      <c r="L227" s="30"/>
      <c r="M227" s="43"/>
      <c r="N227" s="43"/>
      <c r="O227" s="41"/>
      <c r="P227" s="43"/>
      <c r="Q227" s="30"/>
      <c r="R227" s="24" t="str">
        <f aca="false">IF(OR(J227="",K227="",J227=0),"",1-K227/J227)</f>
        <v/>
      </c>
      <c r="S227" s="45" t="str">
        <f aca="false">IF(OR(I227="",M227=""),"",M227-I227)</f>
        <v/>
      </c>
      <c r="T227" s="24" t="str">
        <f aca="false">IF(OR(J227="",O227="",J227=0),"",O227/J227)</f>
        <v/>
      </c>
      <c r="U227" s="46" t="str">
        <f aca="false">IF(OR(J227="",G227="",G227=0),"",J227/G227)</f>
        <v/>
      </c>
      <c r="V227" s="46" t="str">
        <f aca="false">IF(OR(O227="",G227="",G227=0),"",O227/G227)</f>
        <v/>
      </c>
    </row>
    <row r="228" customFormat="false" ht="15" hidden="false" customHeight="false" outlineLevel="0" collapsed="false">
      <c r="A228" s="30"/>
      <c r="B228" s="30"/>
      <c r="C228" s="30"/>
      <c r="D228" s="30"/>
      <c r="E228" s="27"/>
      <c r="F228" s="47"/>
      <c r="G228" s="27"/>
      <c r="H228" s="30"/>
      <c r="I228" s="43"/>
      <c r="J228" s="41"/>
      <c r="K228" s="41"/>
      <c r="L228" s="30"/>
      <c r="M228" s="43"/>
      <c r="N228" s="43"/>
      <c r="O228" s="41"/>
      <c r="P228" s="43"/>
      <c r="Q228" s="30"/>
      <c r="R228" s="24" t="str">
        <f aca="false">IF(OR(J228="",K228="",J228=0),"",1-K228/J228)</f>
        <v/>
      </c>
      <c r="S228" s="45" t="str">
        <f aca="false">IF(OR(I228="",M228=""),"",M228-I228)</f>
        <v/>
      </c>
      <c r="T228" s="24" t="str">
        <f aca="false">IF(OR(J228="",O228="",J228=0),"",O228/J228)</f>
        <v/>
      </c>
      <c r="U228" s="46" t="str">
        <f aca="false">IF(OR(J228="",G228="",G228=0),"",J228/G228)</f>
        <v/>
      </c>
      <c r="V228" s="46" t="str">
        <f aca="false">IF(OR(O228="",G228="",G228=0),"",O228/G228)</f>
        <v/>
      </c>
    </row>
    <row r="229" customFormat="false" ht="15" hidden="false" customHeight="false" outlineLevel="0" collapsed="false">
      <c r="A229" s="30"/>
      <c r="B229" s="30"/>
      <c r="C229" s="30"/>
      <c r="D229" s="30"/>
      <c r="E229" s="27"/>
      <c r="F229" s="47"/>
      <c r="G229" s="27"/>
      <c r="H229" s="30"/>
      <c r="I229" s="43"/>
      <c r="J229" s="41"/>
      <c r="K229" s="41"/>
      <c r="L229" s="30"/>
      <c r="M229" s="43"/>
      <c r="N229" s="43"/>
      <c r="O229" s="41"/>
      <c r="P229" s="43"/>
      <c r="Q229" s="30"/>
      <c r="R229" s="24" t="str">
        <f aca="false">IF(OR(J229="",K229="",J229=0),"",1-K229/J229)</f>
        <v/>
      </c>
      <c r="S229" s="45" t="str">
        <f aca="false">IF(OR(I229="",M229=""),"",M229-I229)</f>
        <v/>
      </c>
      <c r="T229" s="24" t="str">
        <f aca="false">IF(OR(J229="",O229="",J229=0),"",O229/J229)</f>
        <v/>
      </c>
      <c r="U229" s="46" t="str">
        <f aca="false">IF(OR(J229="",G229="",G229=0),"",J229/G229)</f>
        <v/>
      </c>
      <c r="V229" s="46" t="str">
        <f aca="false">IF(OR(O229="",G229="",G229=0),"",O229/G229)</f>
        <v/>
      </c>
    </row>
    <row r="230" customFormat="false" ht="15" hidden="false" customHeight="false" outlineLevel="0" collapsed="false">
      <c r="A230" s="30"/>
      <c r="B230" s="30"/>
      <c r="C230" s="30"/>
      <c r="D230" s="30"/>
      <c r="E230" s="27"/>
      <c r="F230" s="47"/>
      <c r="G230" s="27"/>
      <c r="H230" s="30"/>
      <c r="I230" s="43"/>
      <c r="J230" s="41"/>
      <c r="K230" s="41"/>
      <c r="L230" s="30"/>
      <c r="M230" s="43"/>
      <c r="N230" s="43"/>
      <c r="O230" s="41"/>
      <c r="P230" s="43"/>
      <c r="Q230" s="30"/>
      <c r="R230" s="24" t="str">
        <f aca="false">IF(OR(J230="",K230="",J230=0),"",1-K230/J230)</f>
        <v/>
      </c>
      <c r="S230" s="45" t="str">
        <f aca="false">IF(OR(I230="",M230=""),"",M230-I230)</f>
        <v/>
      </c>
      <c r="T230" s="24" t="str">
        <f aca="false">IF(OR(J230="",O230="",J230=0),"",O230/J230)</f>
        <v/>
      </c>
      <c r="U230" s="46" t="str">
        <f aca="false">IF(OR(J230="",G230="",G230=0),"",J230/G230)</f>
        <v/>
      </c>
      <c r="V230" s="46" t="str">
        <f aca="false">IF(OR(O230="",G230="",G230=0),"",O230/G230)</f>
        <v/>
      </c>
    </row>
    <row r="231" customFormat="false" ht="15" hidden="false" customHeight="false" outlineLevel="0" collapsed="false">
      <c r="A231" s="30"/>
      <c r="B231" s="30"/>
      <c r="C231" s="30"/>
      <c r="D231" s="30"/>
      <c r="E231" s="27"/>
      <c r="F231" s="47"/>
      <c r="G231" s="27"/>
      <c r="H231" s="30"/>
      <c r="I231" s="43"/>
      <c r="J231" s="41"/>
      <c r="K231" s="41"/>
      <c r="L231" s="30"/>
      <c r="M231" s="43"/>
      <c r="N231" s="43"/>
      <c r="O231" s="41"/>
      <c r="P231" s="43"/>
      <c r="Q231" s="30"/>
      <c r="R231" s="24" t="str">
        <f aca="false">IF(OR(J231="",K231="",J231=0),"",1-K231/J231)</f>
        <v/>
      </c>
      <c r="S231" s="45" t="str">
        <f aca="false">IF(OR(I231="",M231=""),"",M231-I231)</f>
        <v/>
      </c>
      <c r="T231" s="24" t="str">
        <f aca="false">IF(OR(J231="",O231="",J231=0),"",O231/J231)</f>
        <v/>
      </c>
      <c r="U231" s="46" t="str">
        <f aca="false">IF(OR(J231="",G231="",G231=0),"",J231/G231)</f>
        <v/>
      </c>
      <c r="V231" s="46" t="str">
        <f aca="false">IF(OR(O231="",G231="",G231=0),"",O231/G231)</f>
        <v/>
      </c>
    </row>
    <row r="232" customFormat="false" ht="15" hidden="false" customHeight="false" outlineLevel="0" collapsed="false">
      <c r="A232" s="30"/>
      <c r="B232" s="30"/>
      <c r="C232" s="30"/>
      <c r="D232" s="30"/>
      <c r="E232" s="27"/>
      <c r="F232" s="47"/>
      <c r="G232" s="27"/>
      <c r="H232" s="30"/>
      <c r="I232" s="43"/>
      <c r="J232" s="41"/>
      <c r="K232" s="41"/>
      <c r="L232" s="30"/>
      <c r="M232" s="43"/>
      <c r="N232" s="43"/>
      <c r="O232" s="41"/>
      <c r="P232" s="43"/>
      <c r="Q232" s="30"/>
      <c r="R232" s="24" t="str">
        <f aca="false">IF(OR(J232="",K232="",J232=0),"",1-K232/J232)</f>
        <v/>
      </c>
      <c r="S232" s="45" t="str">
        <f aca="false">IF(OR(I232="",M232=""),"",M232-I232)</f>
        <v/>
      </c>
      <c r="T232" s="24" t="str">
        <f aca="false">IF(OR(J232="",O232="",J232=0),"",O232/J232)</f>
        <v/>
      </c>
      <c r="U232" s="46" t="str">
        <f aca="false">IF(OR(J232="",G232="",G232=0),"",J232/G232)</f>
        <v/>
      </c>
      <c r="V232" s="46" t="str">
        <f aca="false">IF(OR(O232="",G232="",G232=0),"",O232/G232)</f>
        <v/>
      </c>
    </row>
    <row r="233" customFormat="false" ht="15" hidden="false" customHeight="false" outlineLevel="0" collapsed="false">
      <c r="A233" s="30"/>
      <c r="B233" s="30"/>
      <c r="C233" s="30"/>
      <c r="D233" s="30"/>
      <c r="E233" s="27"/>
      <c r="F233" s="47"/>
      <c r="G233" s="27"/>
      <c r="H233" s="30"/>
      <c r="I233" s="43"/>
      <c r="J233" s="41"/>
      <c r="K233" s="41"/>
      <c r="L233" s="30"/>
      <c r="M233" s="43"/>
      <c r="N233" s="43"/>
      <c r="O233" s="41"/>
      <c r="P233" s="43"/>
      <c r="Q233" s="30"/>
      <c r="R233" s="24" t="str">
        <f aca="false">IF(OR(J233="",K233="",J233=0),"",1-K233/J233)</f>
        <v/>
      </c>
      <c r="S233" s="45" t="str">
        <f aca="false">IF(OR(I233="",M233=""),"",M233-I233)</f>
        <v/>
      </c>
      <c r="T233" s="24" t="str">
        <f aca="false">IF(OR(J233="",O233="",J233=0),"",O233/J233)</f>
        <v/>
      </c>
      <c r="U233" s="46" t="str">
        <f aca="false">IF(OR(J233="",G233="",G233=0),"",J233/G233)</f>
        <v/>
      </c>
      <c r="V233" s="46" t="str">
        <f aca="false">IF(OR(O233="",G233="",G233=0),"",O233/G233)</f>
        <v/>
      </c>
    </row>
    <row r="234" customFormat="false" ht="15" hidden="false" customHeight="false" outlineLevel="0" collapsed="false">
      <c r="A234" s="30"/>
      <c r="B234" s="30"/>
      <c r="C234" s="30"/>
      <c r="D234" s="30"/>
      <c r="E234" s="27"/>
      <c r="F234" s="47"/>
      <c r="G234" s="27"/>
      <c r="H234" s="30"/>
      <c r="I234" s="43"/>
      <c r="J234" s="41"/>
      <c r="K234" s="41"/>
      <c r="L234" s="30"/>
      <c r="M234" s="43"/>
      <c r="N234" s="43"/>
      <c r="O234" s="41"/>
      <c r="P234" s="43"/>
      <c r="Q234" s="30"/>
      <c r="R234" s="24" t="str">
        <f aca="false">IF(OR(J234="",K234="",J234=0),"",1-K234/J234)</f>
        <v/>
      </c>
      <c r="S234" s="45" t="str">
        <f aca="false">IF(OR(I234="",M234=""),"",M234-I234)</f>
        <v/>
      </c>
      <c r="T234" s="24" t="str">
        <f aca="false">IF(OR(J234="",O234="",J234=0),"",O234/J234)</f>
        <v/>
      </c>
      <c r="U234" s="46" t="str">
        <f aca="false">IF(OR(J234="",G234="",G234=0),"",J234/G234)</f>
        <v/>
      </c>
      <c r="V234" s="46" t="str">
        <f aca="false">IF(OR(O234="",G234="",G234=0),"",O234/G234)</f>
        <v/>
      </c>
    </row>
    <row r="235" customFormat="false" ht="15" hidden="false" customHeight="false" outlineLevel="0" collapsed="false">
      <c r="A235" s="30"/>
      <c r="B235" s="30"/>
      <c r="C235" s="30"/>
      <c r="D235" s="30"/>
      <c r="E235" s="27"/>
      <c r="F235" s="47"/>
      <c r="G235" s="27"/>
      <c r="H235" s="30"/>
      <c r="I235" s="43"/>
      <c r="J235" s="41"/>
      <c r="K235" s="41"/>
      <c r="L235" s="30"/>
      <c r="M235" s="43"/>
      <c r="N235" s="43"/>
      <c r="O235" s="41"/>
      <c r="P235" s="43"/>
      <c r="Q235" s="30"/>
      <c r="R235" s="24" t="str">
        <f aca="false">IF(OR(J235="",K235="",J235=0),"",1-K235/J235)</f>
        <v/>
      </c>
      <c r="S235" s="45" t="str">
        <f aca="false">IF(OR(I235="",M235=""),"",M235-I235)</f>
        <v/>
      </c>
      <c r="T235" s="24" t="str">
        <f aca="false">IF(OR(J235="",O235="",J235=0),"",O235/J235)</f>
        <v/>
      </c>
      <c r="U235" s="46" t="str">
        <f aca="false">IF(OR(J235="",G235="",G235=0),"",J235/G235)</f>
        <v/>
      </c>
      <c r="V235" s="46" t="str">
        <f aca="false">IF(OR(O235="",G235="",G235=0),"",O235/G235)</f>
        <v/>
      </c>
    </row>
    <row r="236" customFormat="false" ht="15" hidden="false" customHeight="false" outlineLevel="0" collapsed="false">
      <c r="A236" s="30"/>
      <c r="B236" s="30"/>
      <c r="C236" s="30"/>
      <c r="D236" s="30"/>
      <c r="E236" s="27"/>
      <c r="F236" s="47"/>
      <c r="G236" s="27"/>
      <c r="H236" s="30"/>
      <c r="I236" s="43"/>
      <c r="J236" s="41"/>
      <c r="K236" s="41"/>
      <c r="L236" s="30"/>
      <c r="M236" s="43"/>
      <c r="N236" s="43"/>
      <c r="O236" s="41"/>
      <c r="P236" s="43"/>
      <c r="Q236" s="30"/>
      <c r="R236" s="24" t="str">
        <f aca="false">IF(OR(J236="",K236="",J236=0),"",1-K236/J236)</f>
        <v/>
      </c>
      <c r="S236" s="45" t="str">
        <f aca="false">IF(OR(I236="",M236=""),"",M236-I236)</f>
        <v/>
      </c>
      <c r="T236" s="24" t="str">
        <f aca="false">IF(OR(J236="",O236="",J236=0),"",O236/J236)</f>
        <v/>
      </c>
      <c r="U236" s="46" t="str">
        <f aca="false">IF(OR(J236="",G236="",G236=0),"",J236/G236)</f>
        <v/>
      </c>
      <c r="V236" s="46" t="str">
        <f aca="false">IF(OR(O236="",G236="",G236=0),"",O236/G236)</f>
        <v/>
      </c>
    </row>
    <row r="237" customFormat="false" ht="15" hidden="false" customHeight="false" outlineLevel="0" collapsed="false">
      <c r="A237" s="30"/>
      <c r="B237" s="30"/>
      <c r="C237" s="30"/>
      <c r="D237" s="30"/>
      <c r="E237" s="27"/>
      <c r="F237" s="47"/>
      <c r="G237" s="27"/>
      <c r="H237" s="30"/>
      <c r="I237" s="43"/>
      <c r="J237" s="41"/>
      <c r="K237" s="41"/>
      <c r="L237" s="30"/>
      <c r="M237" s="43"/>
      <c r="N237" s="43"/>
      <c r="O237" s="41"/>
      <c r="P237" s="43"/>
      <c r="Q237" s="30"/>
      <c r="R237" s="24" t="str">
        <f aca="false">IF(OR(J237="",K237="",J237=0),"",1-K237/J237)</f>
        <v/>
      </c>
      <c r="S237" s="45" t="str">
        <f aca="false">IF(OR(I237="",M237=""),"",M237-I237)</f>
        <v/>
      </c>
      <c r="T237" s="24" t="str">
        <f aca="false">IF(OR(J237="",O237="",J237=0),"",O237/J237)</f>
        <v/>
      </c>
      <c r="U237" s="46" t="str">
        <f aca="false">IF(OR(J237="",G237="",G237=0),"",J237/G237)</f>
        <v/>
      </c>
      <c r="V237" s="46" t="str">
        <f aca="false">IF(OR(O237="",G237="",G237=0),"",O237/G237)</f>
        <v/>
      </c>
    </row>
    <row r="238" customFormat="false" ht="15" hidden="false" customHeight="false" outlineLevel="0" collapsed="false">
      <c r="A238" s="30"/>
      <c r="B238" s="30"/>
      <c r="C238" s="30"/>
      <c r="D238" s="30"/>
      <c r="E238" s="27"/>
      <c r="F238" s="47"/>
      <c r="G238" s="27"/>
      <c r="H238" s="30"/>
      <c r="I238" s="43"/>
      <c r="J238" s="41"/>
      <c r="K238" s="41"/>
      <c r="L238" s="30"/>
      <c r="M238" s="43"/>
      <c r="N238" s="43"/>
      <c r="O238" s="41"/>
      <c r="P238" s="43"/>
      <c r="Q238" s="30"/>
      <c r="R238" s="24" t="str">
        <f aca="false">IF(OR(J238="",K238="",J238=0),"",1-K238/J238)</f>
        <v/>
      </c>
      <c r="S238" s="45" t="str">
        <f aca="false">IF(OR(I238="",M238=""),"",M238-I238)</f>
        <v/>
      </c>
      <c r="T238" s="24" t="str">
        <f aca="false">IF(OR(J238="",O238="",J238=0),"",O238/J238)</f>
        <v/>
      </c>
      <c r="U238" s="46" t="str">
        <f aca="false">IF(OR(J238="",G238="",G238=0),"",J238/G238)</f>
        <v/>
      </c>
      <c r="V238" s="46" t="str">
        <f aca="false">IF(OR(O238="",G238="",G238=0),"",O238/G238)</f>
        <v/>
      </c>
    </row>
    <row r="239" customFormat="false" ht="15" hidden="false" customHeight="false" outlineLevel="0" collapsed="false">
      <c r="A239" s="30"/>
      <c r="B239" s="30"/>
      <c r="C239" s="30"/>
      <c r="D239" s="30"/>
      <c r="E239" s="27"/>
      <c r="F239" s="47"/>
      <c r="G239" s="27"/>
      <c r="H239" s="30"/>
      <c r="I239" s="43"/>
      <c r="J239" s="41"/>
      <c r="K239" s="41"/>
      <c r="L239" s="30"/>
      <c r="M239" s="43"/>
      <c r="N239" s="43"/>
      <c r="O239" s="41"/>
      <c r="P239" s="43"/>
      <c r="Q239" s="30"/>
      <c r="R239" s="24" t="str">
        <f aca="false">IF(OR(J239="",K239="",J239=0),"",1-K239/J239)</f>
        <v/>
      </c>
      <c r="S239" s="45" t="str">
        <f aca="false">IF(OR(I239="",M239=""),"",M239-I239)</f>
        <v/>
      </c>
      <c r="T239" s="24" t="str">
        <f aca="false">IF(OR(J239="",O239="",J239=0),"",O239/J239)</f>
        <v/>
      </c>
      <c r="U239" s="46" t="str">
        <f aca="false">IF(OR(J239="",G239="",G239=0),"",J239/G239)</f>
        <v/>
      </c>
      <c r="V239" s="46" t="str">
        <f aca="false">IF(OR(O239="",G239="",G239=0),"",O239/G239)</f>
        <v/>
      </c>
    </row>
    <row r="240" customFormat="false" ht="15" hidden="false" customHeight="false" outlineLevel="0" collapsed="false">
      <c r="A240" s="30"/>
      <c r="B240" s="30"/>
      <c r="C240" s="30"/>
      <c r="D240" s="30"/>
      <c r="E240" s="27"/>
      <c r="F240" s="47"/>
      <c r="G240" s="27"/>
      <c r="H240" s="30"/>
      <c r="I240" s="43"/>
      <c r="J240" s="41"/>
      <c r="K240" s="41"/>
      <c r="L240" s="30"/>
      <c r="M240" s="43"/>
      <c r="N240" s="43"/>
      <c r="O240" s="41"/>
      <c r="P240" s="43"/>
      <c r="Q240" s="30"/>
      <c r="R240" s="24" t="str">
        <f aca="false">IF(OR(J240="",K240="",J240=0),"",1-K240/J240)</f>
        <v/>
      </c>
      <c r="S240" s="45" t="str">
        <f aca="false">IF(OR(I240="",M240=""),"",M240-I240)</f>
        <v/>
      </c>
      <c r="T240" s="24" t="str">
        <f aca="false">IF(OR(J240="",O240="",J240=0),"",O240/J240)</f>
        <v/>
      </c>
      <c r="U240" s="46" t="str">
        <f aca="false">IF(OR(J240="",G240="",G240=0),"",J240/G240)</f>
        <v/>
      </c>
      <c r="V240" s="46" t="str">
        <f aca="false">IF(OR(O240="",G240="",G240=0),"",O240/G240)</f>
        <v/>
      </c>
    </row>
    <row r="241" customFormat="false" ht="15" hidden="false" customHeight="false" outlineLevel="0" collapsed="false">
      <c r="A241" s="30"/>
      <c r="B241" s="30"/>
      <c r="C241" s="30"/>
      <c r="D241" s="30"/>
      <c r="E241" s="27"/>
      <c r="F241" s="47"/>
      <c r="G241" s="27"/>
      <c r="H241" s="30"/>
      <c r="I241" s="43"/>
      <c r="J241" s="41"/>
      <c r="K241" s="41"/>
      <c r="L241" s="30"/>
      <c r="M241" s="43"/>
      <c r="N241" s="43"/>
      <c r="O241" s="41"/>
      <c r="P241" s="43"/>
      <c r="Q241" s="30"/>
      <c r="R241" s="24" t="str">
        <f aca="false">IF(OR(J241="",K241="",J241=0),"",1-K241/J241)</f>
        <v/>
      </c>
      <c r="S241" s="45" t="str">
        <f aca="false">IF(OR(I241="",M241=""),"",M241-I241)</f>
        <v/>
      </c>
      <c r="T241" s="24" t="str">
        <f aca="false">IF(OR(J241="",O241="",J241=0),"",O241/J241)</f>
        <v/>
      </c>
      <c r="U241" s="46" t="str">
        <f aca="false">IF(OR(J241="",G241="",G241=0),"",J241/G241)</f>
        <v/>
      </c>
      <c r="V241" s="46" t="str">
        <f aca="false">IF(OR(O241="",G241="",G241=0),"",O241/G241)</f>
        <v/>
      </c>
    </row>
    <row r="242" customFormat="false" ht="15" hidden="false" customHeight="false" outlineLevel="0" collapsed="false">
      <c r="A242" s="30"/>
      <c r="B242" s="30"/>
      <c r="C242" s="30"/>
      <c r="D242" s="30"/>
      <c r="E242" s="27"/>
      <c r="F242" s="47"/>
      <c r="G242" s="27"/>
      <c r="H242" s="30"/>
      <c r="I242" s="43"/>
      <c r="J242" s="41"/>
      <c r="K242" s="41"/>
      <c r="L242" s="30"/>
      <c r="M242" s="43"/>
      <c r="N242" s="43"/>
      <c r="O242" s="41"/>
      <c r="P242" s="43"/>
      <c r="Q242" s="30"/>
      <c r="R242" s="24" t="str">
        <f aca="false">IF(OR(J242="",K242="",J242=0),"",1-K242/J242)</f>
        <v/>
      </c>
      <c r="S242" s="45" t="str">
        <f aca="false">IF(OR(I242="",M242=""),"",M242-I242)</f>
        <v/>
      </c>
      <c r="T242" s="24" t="str">
        <f aca="false">IF(OR(J242="",O242="",J242=0),"",O242/J242)</f>
        <v/>
      </c>
      <c r="U242" s="46" t="str">
        <f aca="false">IF(OR(J242="",G242="",G242=0),"",J242/G242)</f>
        <v/>
      </c>
      <c r="V242" s="46" t="str">
        <f aca="false">IF(OR(O242="",G242="",G242=0),"",O242/G242)</f>
        <v/>
      </c>
    </row>
    <row r="243" customFormat="false" ht="15" hidden="false" customHeight="false" outlineLevel="0" collapsed="false">
      <c r="A243" s="30"/>
      <c r="B243" s="30"/>
      <c r="C243" s="30"/>
      <c r="D243" s="30"/>
      <c r="E243" s="27"/>
      <c r="F243" s="47"/>
      <c r="G243" s="27"/>
      <c r="H243" s="30"/>
      <c r="I243" s="43"/>
      <c r="J243" s="41"/>
      <c r="K243" s="41"/>
      <c r="L243" s="30"/>
      <c r="M243" s="43"/>
      <c r="N243" s="43"/>
      <c r="O243" s="41"/>
      <c r="P243" s="43"/>
      <c r="Q243" s="30"/>
      <c r="R243" s="24" t="str">
        <f aca="false">IF(OR(J243="",K243="",J243=0),"",1-K243/J243)</f>
        <v/>
      </c>
      <c r="S243" s="45" t="str">
        <f aca="false">IF(OR(I243="",M243=""),"",M243-I243)</f>
        <v/>
      </c>
      <c r="T243" s="24" t="str">
        <f aca="false">IF(OR(J243="",O243="",J243=0),"",O243/J243)</f>
        <v/>
      </c>
      <c r="U243" s="46" t="str">
        <f aca="false">IF(OR(J243="",G243="",G243=0),"",J243/G243)</f>
        <v/>
      </c>
      <c r="V243" s="46" t="str">
        <f aca="false">IF(OR(O243="",G243="",G243=0),"",O243/G243)</f>
        <v/>
      </c>
    </row>
    <row r="244" customFormat="false" ht="15" hidden="false" customHeight="false" outlineLevel="0" collapsed="false">
      <c r="A244" s="30"/>
      <c r="B244" s="30"/>
      <c r="C244" s="30"/>
      <c r="D244" s="30"/>
      <c r="E244" s="27"/>
      <c r="F244" s="47"/>
      <c r="G244" s="27"/>
      <c r="H244" s="30"/>
      <c r="I244" s="43"/>
      <c r="J244" s="41"/>
      <c r="K244" s="41"/>
      <c r="L244" s="30"/>
      <c r="M244" s="43"/>
      <c r="N244" s="43"/>
      <c r="O244" s="41"/>
      <c r="P244" s="43"/>
      <c r="Q244" s="30"/>
      <c r="R244" s="24" t="str">
        <f aca="false">IF(OR(J244="",K244="",J244=0),"",1-K244/J244)</f>
        <v/>
      </c>
      <c r="S244" s="45" t="str">
        <f aca="false">IF(OR(I244="",M244=""),"",M244-I244)</f>
        <v/>
      </c>
      <c r="T244" s="24" t="str">
        <f aca="false">IF(OR(J244="",O244="",J244=0),"",O244/J244)</f>
        <v/>
      </c>
      <c r="U244" s="46" t="str">
        <f aca="false">IF(OR(J244="",G244="",G244=0),"",J244/G244)</f>
        <v/>
      </c>
      <c r="V244" s="46" t="str">
        <f aca="false">IF(OR(O244="",G244="",G244=0),"",O244/G244)</f>
        <v/>
      </c>
    </row>
    <row r="245" customFormat="false" ht="15" hidden="false" customHeight="false" outlineLevel="0" collapsed="false">
      <c r="A245" s="30"/>
      <c r="B245" s="30"/>
      <c r="C245" s="30"/>
      <c r="D245" s="30"/>
      <c r="E245" s="27"/>
      <c r="F245" s="47"/>
      <c r="G245" s="27"/>
      <c r="H245" s="30"/>
      <c r="I245" s="43"/>
      <c r="J245" s="41"/>
      <c r="K245" s="41"/>
      <c r="L245" s="30"/>
      <c r="M245" s="43"/>
      <c r="N245" s="43"/>
      <c r="O245" s="41"/>
      <c r="P245" s="43"/>
      <c r="Q245" s="30"/>
      <c r="R245" s="24" t="str">
        <f aca="false">IF(OR(J245="",K245="",J245=0),"",1-K245/J245)</f>
        <v/>
      </c>
      <c r="S245" s="45" t="str">
        <f aca="false">IF(OR(I245="",M245=""),"",M245-I245)</f>
        <v/>
      </c>
      <c r="T245" s="24" t="str">
        <f aca="false">IF(OR(J245="",O245="",J245=0),"",O245/J245)</f>
        <v/>
      </c>
      <c r="U245" s="46" t="str">
        <f aca="false">IF(OR(J245="",G245="",G245=0),"",J245/G245)</f>
        <v/>
      </c>
      <c r="V245" s="46" t="str">
        <f aca="false">IF(OR(O245="",G245="",G245=0),"",O245/G245)</f>
        <v/>
      </c>
    </row>
    <row r="246" customFormat="false" ht="15" hidden="false" customHeight="false" outlineLevel="0" collapsed="false">
      <c r="A246" s="30"/>
      <c r="B246" s="30"/>
      <c r="C246" s="30"/>
      <c r="D246" s="30"/>
      <c r="E246" s="27"/>
      <c r="F246" s="47"/>
      <c r="G246" s="27"/>
      <c r="H246" s="30"/>
      <c r="I246" s="43"/>
      <c r="J246" s="41"/>
      <c r="K246" s="41"/>
      <c r="L246" s="30"/>
      <c r="M246" s="43"/>
      <c r="N246" s="43"/>
      <c r="O246" s="41"/>
      <c r="P246" s="43"/>
      <c r="Q246" s="30"/>
      <c r="R246" s="24" t="str">
        <f aca="false">IF(OR(J246="",K246="",J246=0),"",1-K246/J246)</f>
        <v/>
      </c>
      <c r="S246" s="45" t="str">
        <f aca="false">IF(OR(I246="",M246=""),"",M246-I246)</f>
        <v/>
      </c>
      <c r="T246" s="24" t="str">
        <f aca="false">IF(OR(J246="",O246="",J246=0),"",O246/J246)</f>
        <v/>
      </c>
      <c r="U246" s="46" t="str">
        <f aca="false">IF(OR(J246="",G246="",G246=0),"",J246/G246)</f>
        <v/>
      </c>
      <c r="V246" s="46" t="str">
        <f aca="false">IF(OR(O246="",G246="",G246=0),"",O246/G246)</f>
        <v/>
      </c>
    </row>
    <row r="247" customFormat="false" ht="15" hidden="false" customHeight="false" outlineLevel="0" collapsed="false">
      <c r="A247" s="30"/>
      <c r="B247" s="30"/>
      <c r="C247" s="30"/>
      <c r="D247" s="30"/>
      <c r="E247" s="27"/>
      <c r="F247" s="47"/>
      <c r="G247" s="27"/>
      <c r="H247" s="30"/>
      <c r="I247" s="43"/>
      <c r="J247" s="41"/>
      <c r="K247" s="41"/>
      <c r="L247" s="30"/>
      <c r="M247" s="43"/>
      <c r="N247" s="43"/>
      <c r="O247" s="41"/>
      <c r="P247" s="43"/>
      <c r="Q247" s="30"/>
      <c r="R247" s="24" t="str">
        <f aca="false">IF(OR(J247="",K247="",J247=0),"",1-K247/J247)</f>
        <v/>
      </c>
      <c r="S247" s="45" t="str">
        <f aca="false">IF(OR(I247="",M247=""),"",M247-I247)</f>
        <v/>
      </c>
      <c r="T247" s="24" t="str">
        <f aca="false">IF(OR(J247="",O247="",J247=0),"",O247/J247)</f>
        <v/>
      </c>
      <c r="U247" s="46" t="str">
        <f aca="false">IF(OR(J247="",G247="",G247=0),"",J247/G247)</f>
        <v/>
      </c>
      <c r="V247" s="46" t="str">
        <f aca="false">IF(OR(O247="",G247="",G247=0),"",O247/G247)</f>
        <v/>
      </c>
    </row>
    <row r="248" customFormat="false" ht="15" hidden="false" customHeight="false" outlineLevel="0" collapsed="false">
      <c r="A248" s="30"/>
      <c r="B248" s="30"/>
      <c r="C248" s="30"/>
      <c r="D248" s="30"/>
      <c r="E248" s="27"/>
      <c r="F248" s="47"/>
      <c r="G248" s="27"/>
      <c r="H248" s="30"/>
      <c r="I248" s="43"/>
      <c r="J248" s="41"/>
      <c r="K248" s="41"/>
      <c r="L248" s="30"/>
      <c r="M248" s="43"/>
      <c r="N248" s="43"/>
      <c r="O248" s="41"/>
      <c r="P248" s="43"/>
      <c r="Q248" s="30"/>
      <c r="R248" s="24" t="str">
        <f aca="false">IF(OR(J248="",K248="",J248=0),"",1-K248/J248)</f>
        <v/>
      </c>
      <c r="S248" s="45" t="str">
        <f aca="false">IF(OR(I248="",M248=""),"",M248-I248)</f>
        <v/>
      </c>
      <c r="T248" s="24" t="str">
        <f aca="false">IF(OR(J248="",O248="",J248=0),"",O248/J248)</f>
        <v/>
      </c>
      <c r="U248" s="46" t="str">
        <f aca="false">IF(OR(J248="",G248="",G248=0),"",J248/G248)</f>
        <v/>
      </c>
      <c r="V248" s="46" t="str">
        <f aca="false">IF(OR(O248="",G248="",G248=0),"",O248/G248)</f>
        <v/>
      </c>
    </row>
    <row r="249" customFormat="false" ht="15" hidden="false" customHeight="false" outlineLevel="0" collapsed="false">
      <c r="A249" s="30"/>
      <c r="B249" s="30"/>
      <c r="C249" s="30"/>
      <c r="D249" s="30"/>
      <c r="E249" s="27"/>
      <c r="F249" s="47"/>
      <c r="G249" s="27"/>
      <c r="H249" s="30"/>
      <c r="I249" s="43"/>
      <c r="J249" s="41"/>
      <c r="K249" s="41"/>
      <c r="L249" s="30"/>
      <c r="M249" s="43"/>
      <c r="N249" s="43"/>
      <c r="O249" s="41"/>
      <c r="P249" s="43"/>
      <c r="Q249" s="30"/>
      <c r="R249" s="24" t="str">
        <f aca="false">IF(OR(J249="",K249="",J249=0),"",1-K249/J249)</f>
        <v/>
      </c>
      <c r="S249" s="45" t="str">
        <f aca="false">IF(OR(I249="",M249=""),"",M249-I249)</f>
        <v/>
      </c>
      <c r="T249" s="24" t="str">
        <f aca="false">IF(OR(J249="",O249="",J249=0),"",O249/J249)</f>
        <v/>
      </c>
      <c r="U249" s="46" t="str">
        <f aca="false">IF(OR(J249="",G249="",G249=0),"",J249/G249)</f>
        <v/>
      </c>
      <c r="V249" s="46" t="str">
        <f aca="false">IF(OR(O249="",G249="",G249=0),"",O249/G249)</f>
        <v/>
      </c>
    </row>
    <row r="250" customFormat="false" ht="15" hidden="false" customHeight="false" outlineLevel="0" collapsed="false">
      <c r="A250" s="30"/>
      <c r="B250" s="30"/>
      <c r="C250" s="30"/>
      <c r="D250" s="30"/>
      <c r="E250" s="27"/>
      <c r="F250" s="47"/>
      <c r="G250" s="27"/>
      <c r="H250" s="30"/>
      <c r="I250" s="43"/>
      <c r="J250" s="41"/>
      <c r="K250" s="41"/>
      <c r="L250" s="30"/>
      <c r="M250" s="43"/>
      <c r="N250" s="43"/>
      <c r="O250" s="41"/>
      <c r="P250" s="43"/>
      <c r="Q250" s="30"/>
      <c r="R250" s="24" t="str">
        <f aca="false">IF(OR(J250="",K250="",J250=0),"",1-K250/J250)</f>
        <v/>
      </c>
      <c r="S250" s="45" t="str">
        <f aca="false">IF(OR(I250="",M250=""),"",M250-I250)</f>
        <v/>
      </c>
      <c r="T250" s="24" t="str">
        <f aca="false">IF(OR(J250="",O250="",J250=0),"",O250/J250)</f>
        <v/>
      </c>
      <c r="U250" s="46" t="str">
        <f aca="false">IF(OR(J250="",G250="",G250=0),"",J250/G250)</f>
        <v/>
      </c>
      <c r="V250" s="46" t="str">
        <f aca="false">IF(OR(O250="",G250="",G250=0),"",O250/G250)</f>
        <v/>
      </c>
    </row>
    <row r="251" customFormat="false" ht="15" hidden="false" customHeight="false" outlineLevel="0" collapsed="false">
      <c r="A251" s="30"/>
      <c r="B251" s="30"/>
      <c r="C251" s="30"/>
      <c r="D251" s="30"/>
      <c r="E251" s="27"/>
      <c r="F251" s="47"/>
      <c r="G251" s="27"/>
      <c r="H251" s="30"/>
      <c r="I251" s="43"/>
      <c r="J251" s="41"/>
      <c r="K251" s="41"/>
      <c r="L251" s="30"/>
      <c r="M251" s="43"/>
      <c r="N251" s="43"/>
      <c r="O251" s="41"/>
      <c r="P251" s="43"/>
      <c r="Q251" s="30"/>
      <c r="R251" s="24" t="str">
        <f aca="false">IF(OR(J251="",K251="",J251=0),"",1-K251/J251)</f>
        <v/>
      </c>
      <c r="S251" s="45" t="str">
        <f aca="false">IF(OR(I251="",M251=""),"",M251-I251)</f>
        <v/>
      </c>
      <c r="T251" s="24" t="str">
        <f aca="false">IF(OR(J251="",O251="",J251=0),"",O251/J251)</f>
        <v/>
      </c>
      <c r="U251" s="46" t="str">
        <f aca="false">IF(OR(J251="",G251="",G251=0),"",J251/G251)</f>
        <v/>
      </c>
      <c r="V251" s="46" t="str">
        <f aca="false">IF(OR(O251="",G251="",G251=0),"",O251/G251)</f>
        <v/>
      </c>
    </row>
    <row r="252" customFormat="false" ht="15" hidden="false" customHeight="false" outlineLevel="0" collapsed="false">
      <c r="A252" s="30"/>
      <c r="B252" s="30"/>
      <c r="C252" s="30"/>
      <c r="D252" s="30"/>
      <c r="E252" s="27"/>
      <c r="F252" s="47"/>
      <c r="G252" s="27"/>
      <c r="H252" s="30"/>
      <c r="I252" s="43"/>
      <c r="J252" s="41"/>
      <c r="K252" s="41"/>
      <c r="L252" s="30"/>
      <c r="M252" s="43"/>
      <c r="N252" s="43"/>
      <c r="O252" s="41"/>
      <c r="P252" s="43"/>
      <c r="Q252" s="30"/>
      <c r="R252" s="24" t="str">
        <f aca="false">IF(OR(J252="",K252="",J252=0),"",1-K252/J252)</f>
        <v/>
      </c>
      <c r="S252" s="45" t="str">
        <f aca="false">IF(OR(I252="",M252=""),"",M252-I252)</f>
        <v/>
      </c>
      <c r="T252" s="24" t="str">
        <f aca="false">IF(OR(J252="",O252="",J252=0),"",O252/J252)</f>
        <v/>
      </c>
      <c r="U252" s="46" t="str">
        <f aca="false">IF(OR(J252="",G252="",G252=0),"",J252/G252)</f>
        <v/>
      </c>
      <c r="V252" s="46" t="str">
        <f aca="false">IF(OR(O252="",G252="",G252=0),"",O252/G252)</f>
        <v/>
      </c>
    </row>
    <row r="253" customFormat="false" ht="15" hidden="false" customHeight="false" outlineLevel="0" collapsed="false">
      <c r="A253" s="30"/>
      <c r="B253" s="30"/>
      <c r="C253" s="30"/>
      <c r="D253" s="30"/>
      <c r="E253" s="27"/>
      <c r="F253" s="47"/>
      <c r="G253" s="27"/>
      <c r="H253" s="30"/>
      <c r="I253" s="43"/>
      <c r="J253" s="41"/>
      <c r="K253" s="41"/>
      <c r="L253" s="30"/>
      <c r="M253" s="43"/>
      <c r="N253" s="43"/>
      <c r="O253" s="41"/>
      <c r="P253" s="43"/>
      <c r="Q253" s="30"/>
      <c r="R253" s="24" t="str">
        <f aca="false">IF(OR(J253="",K253="",J253=0),"",1-K253/J253)</f>
        <v/>
      </c>
      <c r="S253" s="45" t="str">
        <f aca="false">IF(OR(I253="",M253=""),"",M253-I253)</f>
        <v/>
      </c>
      <c r="T253" s="24" t="str">
        <f aca="false">IF(OR(J253="",O253="",J253=0),"",O253/J253)</f>
        <v/>
      </c>
      <c r="U253" s="46" t="str">
        <f aca="false">IF(OR(J253="",G253="",G253=0),"",J253/G253)</f>
        <v/>
      </c>
      <c r="V253" s="46" t="str">
        <f aca="false">IF(OR(O253="",G253="",G253=0),"",O253/G253)</f>
        <v/>
      </c>
    </row>
    <row r="254" customFormat="false" ht="15" hidden="false" customHeight="false" outlineLevel="0" collapsed="false">
      <c r="A254" s="30"/>
      <c r="B254" s="30"/>
      <c r="C254" s="30"/>
      <c r="D254" s="30"/>
      <c r="E254" s="27"/>
      <c r="F254" s="47"/>
      <c r="G254" s="27"/>
      <c r="H254" s="30"/>
      <c r="I254" s="43"/>
      <c r="J254" s="41"/>
      <c r="K254" s="41"/>
      <c r="L254" s="30"/>
      <c r="M254" s="43"/>
      <c r="N254" s="43"/>
      <c r="O254" s="41"/>
      <c r="P254" s="43"/>
      <c r="Q254" s="30"/>
      <c r="R254" s="24" t="str">
        <f aca="false">IF(OR(J254="",K254="",J254=0),"",1-K254/J254)</f>
        <v/>
      </c>
      <c r="S254" s="45" t="str">
        <f aca="false">IF(OR(I254="",M254=""),"",M254-I254)</f>
        <v/>
      </c>
      <c r="T254" s="24" t="str">
        <f aca="false">IF(OR(J254="",O254="",J254=0),"",O254/J254)</f>
        <v/>
      </c>
      <c r="U254" s="46" t="str">
        <f aca="false">IF(OR(J254="",G254="",G254=0),"",J254/G254)</f>
        <v/>
      </c>
      <c r="V254" s="46" t="str">
        <f aca="false">IF(OR(O254="",G254="",G254=0),"",O254/G254)</f>
        <v/>
      </c>
    </row>
    <row r="255" customFormat="false" ht="15" hidden="false" customHeight="false" outlineLevel="0" collapsed="false">
      <c r="A255" s="30"/>
      <c r="B255" s="30"/>
      <c r="C255" s="30"/>
      <c r="D255" s="30"/>
      <c r="E255" s="27"/>
      <c r="F255" s="47"/>
      <c r="G255" s="27"/>
      <c r="H255" s="30"/>
      <c r="I255" s="43"/>
      <c r="J255" s="41"/>
      <c r="K255" s="41"/>
      <c r="L255" s="30"/>
      <c r="M255" s="43"/>
      <c r="N255" s="43"/>
      <c r="O255" s="41"/>
      <c r="P255" s="43"/>
      <c r="Q255" s="30"/>
      <c r="R255" s="24" t="str">
        <f aca="false">IF(OR(J255="",K255="",J255=0),"",1-K255/J255)</f>
        <v/>
      </c>
      <c r="S255" s="45" t="str">
        <f aca="false">IF(OR(I255="",M255=""),"",M255-I255)</f>
        <v/>
      </c>
      <c r="T255" s="24" t="str">
        <f aca="false">IF(OR(J255="",O255="",J255=0),"",O255/J255)</f>
        <v/>
      </c>
      <c r="U255" s="46" t="str">
        <f aca="false">IF(OR(J255="",G255="",G255=0),"",J255/G255)</f>
        <v/>
      </c>
      <c r="V255" s="46" t="str">
        <f aca="false">IF(OR(O255="",G255="",G255=0),"",O255/G255)</f>
        <v/>
      </c>
    </row>
    <row r="256" customFormat="false" ht="15" hidden="false" customHeight="false" outlineLevel="0" collapsed="false">
      <c r="A256" s="30"/>
      <c r="B256" s="30"/>
      <c r="C256" s="30"/>
      <c r="D256" s="30"/>
      <c r="E256" s="27"/>
      <c r="F256" s="47"/>
      <c r="G256" s="27"/>
      <c r="H256" s="30"/>
      <c r="I256" s="43"/>
      <c r="J256" s="41"/>
      <c r="K256" s="41"/>
      <c r="L256" s="30"/>
      <c r="M256" s="43"/>
      <c r="N256" s="43"/>
      <c r="O256" s="41"/>
      <c r="P256" s="43"/>
      <c r="Q256" s="30"/>
      <c r="R256" s="24" t="str">
        <f aca="false">IF(OR(J256="",K256="",J256=0),"",1-K256/J256)</f>
        <v/>
      </c>
      <c r="S256" s="45" t="str">
        <f aca="false">IF(OR(I256="",M256=""),"",M256-I256)</f>
        <v/>
      </c>
      <c r="T256" s="24" t="str">
        <f aca="false">IF(OR(J256="",O256="",J256=0),"",O256/J256)</f>
        <v/>
      </c>
      <c r="U256" s="46" t="str">
        <f aca="false">IF(OR(J256="",G256="",G256=0),"",J256/G256)</f>
        <v/>
      </c>
      <c r="V256" s="46" t="str">
        <f aca="false">IF(OR(O256="",G256="",G256=0),"",O256/G256)</f>
        <v/>
      </c>
    </row>
    <row r="257" customFormat="false" ht="15" hidden="false" customHeight="false" outlineLevel="0" collapsed="false">
      <c r="A257" s="30"/>
      <c r="B257" s="30"/>
      <c r="C257" s="30"/>
      <c r="D257" s="30"/>
      <c r="E257" s="27"/>
      <c r="F257" s="47"/>
      <c r="G257" s="27"/>
      <c r="H257" s="30"/>
      <c r="I257" s="43"/>
      <c r="J257" s="41"/>
      <c r="K257" s="41"/>
      <c r="L257" s="30"/>
      <c r="M257" s="43"/>
      <c r="N257" s="43"/>
      <c r="O257" s="41"/>
      <c r="P257" s="43"/>
      <c r="Q257" s="30"/>
      <c r="R257" s="24" t="str">
        <f aca="false">IF(OR(J257="",K257="",J257=0),"",1-K257/J257)</f>
        <v/>
      </c>
      <c r="S257" s="45" t="str">
        <f aca="false">IF(OR(I257="",M257=""),"",M257-I257)</f>
        <v/>
      </c>
      <c r="T257" s="24" t="str">
        <f aca="false">IF(OR(J257="",O257="",J257=0),"",O257/J257)</f>
        <v/>
      </c>
      <c r="U257" s="46" t="str">
        <f aca="false">IF(OR(J257="",G257="",G257=0),"",J257/G257)</f>
        <v/>
      </c>
      <c r="V257" s="46" t="str">
        <f aca="false">IF(OR(O257="",G257="",G257=0),"",O257/G257)</f>
        <v/>
      </c>
    </row>
    <row r="258" customFormat="false" ht="15" hidden="false" customHeight="false" outlineLevel="0" collapsed="false">
      <c r="A258" s="30"/>
      <c r="B258" s="30"/>
      <c r="C258" s="30"/>
      <c r="D258" s="30"/>
      <c r="E258" s="27"/>
      <c r="F258" s="47"/>
      <c r="G258" s="27"/>
      <c r="H258" s="30"/>
      <c r="I258" s="43"/>
      <c r="J258" s="41"/>
      <c r="K258" s="41"/>
      <c r="L258" s="30"/>
      <c r="M258" s="43"/>
      <c r="N258" s="43"/>
      <c r="O258" s="41"/>
      <c r="P258" s="43"/>
      <c r="Q258" s="30"/>
      <c r="R258" s="24" t="str">
        <f aca="false">IF(OR(J258="",K258="",J258=0),"",1-K258/J258)</f>
        <v/>
      </c>
      <c r="S258" s="45" t="str">
        <f aca="false">IF(OR(I258="",M258=""),"",M258-I258)</f>
        <v/>
      </c>
      <c r="T258" s="24" t="str">
        <f aca="false">IF(OR(J258="",O258="",J258=0),"",O258/J258)</f>
        <v/>
      </c>
      <c r="U258" s="46" t="str">
        <f aca="false">IF(OR(J258="",G258="",G258=0),"",J258/G258)</f>
        <v/>
      </c>
      <c r="V258" s="46" t="str">
        <f aca="false">IF(OR(O258="",G258="",G258=0),"",O258/G258)</f>
        <v/>
      </c>
    </row>
    <row r="259" customFormat="false" ht="15" hidden="false" customHeight="false" outlineLevel="0" collapsed="false">
      <c r="A259" s="30"/>
      <c r="B259" s="30"/>
      <c r="C259" s="30"/>
      <c r="D259" s="30"/>
      <c r="E259" s="27"/>
      <c r="F259" s="47"/>
      <c r="G259" s="27"/>
      <c r="H259" s="30"/>
      <c r="I259" s="43"/>
      <c r="J259" s="41"/>
      <c r="K259" s="41"/>
      <c r="L259" s="30"/>
      <c r="M259" s="43"/>
      <c r="N259" s="43"/>
      <c r="O259" s="41"/>
      <c r="P259" s="43"/>
      <c r="Q259" s="30"/>
      <c r="R259" s="24" t="str">
        <f aca="false">IF(OR(J259="",K259="",J259=0),"",1-K259/J259)</f>
        <v/>
      </c>
      <c r="S259" s="45" t="str">
        <f aca="false">IF(OR(I259="",M259=""),"",M259-I259)</f>
        <v/>
      </c>
      <c r="T259" s="24" t="str">
        <f aca="false">IF(OR(J259="",O259="",J259=0),"",O259/J259)</f>
        <v/>
      </c>
      <c r="U259" s="46" t="str">
        <f aca="false">IF(OR(J259="",G259="",G259=0),"",J259/G259)</f>
        <v/>
      </c>
      <c r="V259" s="46" t="str">
        <f aca="false">IF(OR(O259="",G259="",G259=0),"",O259/G259)</f>
        <v/>
      </c>
    </row>
    <row r="260" customFormat="false" ht="15" hidden="false" customHeight="false" outlineLevel="0" collapsed="false">
      <c r="A260" s="30"/>
      <c r="B260" s="30"/>
      <c r="C260" s="30"/>
      <c r="D260" s="30"/>
      <c r="E260" s="27"/>
      <c r="F260" s="47"/>
      <c r="G260" s="27"/>
      <c r="H260" s="30"/>
      <c r="I260" s="43"/>
      <c r="J260" s="41"/>
      <c r="K260" s="41"/>
      <c r="L260" s="30"/>
      <c r="M260" s="43"/>
      <c r="N260" s="43"/>
      <c r="O260" s="41"/>
      <c r="P260" s="43"/>
      <c r="Q260" s="30"/>
      <c r="R260" s="24" t="str">
        <f aca="false">IF(OR(J260="",K260="",J260=0),"",1-K260/J260)</f>
        <v/>
      </c>
      <c r="S260" s="45" t="str">
        <f aca="false">IF(OR(I260="",M260=""),"",M260-I260)</f>
        <v/>
      </c>
      <c r="T260" s="24" t="str">
        <f aca="false">IF(OR(J260="",O260="",J260=0),"",O260/J260)</f>
        <v/>
      </c>
      <c r="U260" s="46" t="str">
        <f aca="false">IF(OR(J260="",G260="",G260=0),"",J260/G260)</f>
        <v/>
      </c>
      <c r="V260" s="46" t="str">
        <f aca="false">IF(OR(O260="",G260="",G260=0),"",O260/G260)</f>
        <v/>
      </c>
    </row>
    <row r="261" customFormat="false" ht="15" hidden="false" customHeight="false" outlineLevel="0" collapsed="false">
      <c r="A261" s="30"/>
      <c r="B261" s="30"/>
      <c r="C261" s="30"/>
      <c r="D261" s="30"/>
      <c r="E261" s="27"/>
      <c r="F261" s="47"/>
      <c r="G261" s="27"/>
      <c r="H261" s="30"/>
      <c r="I261" s="43"/>
      <c r="J261" s="41"/>
      <c r="K261" s="41"/>
      <c r="L261" s="30"/>
      <c r="M261" s="43"/>
      <c r="N261" s="43"/>
      <c r="O261" s="41"/>
      <c r="P261" s="43"/>
      <c r="Q261" s="30"/>
      <c r="R261" s="24" t="str">
        <f aca="false">IF(OR(J261="",K261="",J261=0),"",1-K261/J261)</f>
        <v/>
      </c>
      <c r="S261" s="45" t="str">
        <f aca="false">IF(OR(I261="",M261=""),"",M261-I261)</f>
        <v/>
      </c>
      <c r="T261" s="24" t="str">
        <f aca="false">IF(OR(J261="",O261="",J261=0),"",O261/J261)</f>
        <v/>
      </c>
      <c r="U261" s="46" t="str">
        <f aca="false">IF(OR(J261="",G261="",G261=0),"",J261/G261)</f>
        <v/>
      </c>
      <c r="V261" s="46" t="str">
        <f aca="false">IF(OR(O261="",G261="",G261=0),"",O261/G261)</f>
        <v/>
      </c>
    </row>
    <row r="262" customFormat="false" ht="15" hidden="false" customHeight="false" outlineLevel="0" collapsed="false">
      <c r="A262" s="30"/>
      <c r="B262" s="30"/>
      <c r="C262" s="30"/>
      <c r="D262" s="30"/>
      <c r="E262" s="27"/>
      <c r="F262" s="47"/>
      <c r="G262" s="27"/>
      <c r="H262" s="30"/>
      <c r="I262" s="43"/>
      <c r="J262" s="41"/>
      <c r="K262" s="41"/>
      <c r="L262" s="30"/>
      <c r="M262" s="43"/>
      <c r="N262" s="43"/>
      <c r="O262" s="41"/>
      <c r="P262" s="43"/>
      <c r="Q262" s="30"/>
      <c r="R262" s="24" t="str">
        <f aca="false">IF(OR(J262="",K262="",J262=0),"",1-K262/J262)</f>
        <v/>
      </c>
      <c r="S262" s="45" t="str">
        <f aca="false">IF(OR(I262="",M262=""),"",M262-I262)</f>
        <v/>
      </c>
      <c r="T262" s="24" t="str">
        <f aca="false">IF(OR(J262="",O262="",J262=0),"",O262/J262)</f>
        <v/>
      </c>
      <c r="U262" s="46" t="str">
        <f aca="false">IF(OR(J262="",G262="",G262=0),"",J262/G262)</f>
        <v/>
      </c>
      <c r="V262" s="46" t="str">
        <f aca="false">IF(OR(O262="",G262="",G262=0),"",O262/G262)</f>
        <v/>
      </c>
    </row>
    <row r="263" customFormat="false" ht="15" hidden="false" customHeight="false" outlineLevel="0" collapsed="false">
      <c r="A263" s="30"/>
      <c r="B263" s="30"/>
      <c r="C263" s="30"/>
      <c r="D263" s="30"/>
      <c r="E263" s="27"/>
      <c r="F263" s="47"/>
      <c r="G263" s="27"/>
      <c r="H263" s="30"/>
      <c r="I263" s="43"/>
      <c r="J263" s="41"/>
      <c r="K263" s="41"/>
      <c r="L263" s="30"/>
      <c r="M263" s="43"/>
      <c r="N263" s="43"/>
      <c r="O263" s="41"/>
      <c r="P263" s="43"/>
      <c r="Q263" s="30"/>
      <c r="R263" s="24" t="str">
        <f aca="false">IF(OR(J263="",K263="",J263=0),"",1-K263/J263)</f>
        <v/>
      </c>
      <c r="S263" s="45" t="str">
        <f aca="false">IF(OR(I263="",M263=""),"",M263-I263)</f>
        <v/>
      </c>
      <c r="T263" s="24" t="str">
        <f aca="false">IF(OR(J263="",O263="",J263=0),"",O263/J263)</f>
        <v/>
      </c>
      <c r="U263" s="46" t="str">
        <f aca="false">IF(OR(J263="",G263="",G263=0),"",J263/G263)</f>
        <v/>
      </c>
      <c r="V263" s="46" t="str">
        <f aca="false">IF(OR(O263="",G263="",G263=0),"",O263/G263)</f>
        <v/>
      </c>
    </row>
    <row r="264" customFormat="false" ht="15" hidden="false" customHeight="false" outlineLevel="0" collapsed="false">
      <c r="A264" s="30"/>
      <c r="B264" s="30"/>
      <c r="C264" s="30"/>
      <c r="D264" s="30"/>
      <c r="E264" s="27"/>
      <c r="F264" s="47"/>
      <c r="G264" s="27"/>
      <c r="H264" s="30"/>
      <c r="I264" s="43"/>
      <c r="J264" s="41"/>
      <c r="K264" s="41"/>
      <c r="L264" s="30"/>
      <c r="M264" s="43"/>
      <c r="N264" s="43"/>
      <c r="O264" s="41"/>
      <c r="P264" s="43"/>
      <c r="Q264" s="30"/>
      <c r="R264" s="24" t="str">
        <f aca="false">IF(OR(J264="",K264="",J264=0),"",1-K264/J264)</f>
        <v/>
      </c>
      <c r="S264" s="45" t="str">
        <f aca="false">IF(OR(I264="",M264=""),"",M264-I264)</f>
        <v/>
      </c>
      <c r="T264" s="24" t="str">
        <f aca="false">IF(OR(J264="",O264="",J264=0),"",O264/J264)</f>
        <v/>
      </c>
      <c r="U264" s="46" t="str">
        <f aca="false">IF(OR(J264="",G264="",G264=0),"",J264/G264)</f>
        <v/>
      </c>
      <c r="V264" s="46" t="str">
        <f aca="false">IF(OR(O264="",G264="",G264=0),"",O264/G264)</f>
        <v/>
      </c>
    </row>
    <row r="265" customFormat="false" ht="15" hidden="false" customHeight="false" outlineLevel="0" collapsed="false">
      <c r="A265" s="30"/>
      <c r="B265" s="30"/>
      <c r="C265" s="30"/>
      <c r="D265" s="30"/>
      <c r="E265" s="27"/>
      <c r="F265" s="47"/>
      <c r="G265" s="27"/>
      <c r="H265" s="30"/>
      <c r="I265" s="43"/>
      <c r="J265" s="41"/>
      <c r="K265" s="41"/>
      <c r="L265" s="30"/>
      <c r="M265" s="43"/>
      <c r="N265" s="43"/>
      <c r="O265" s="41"/>
      <c r="P265" s="43"/>
      <c r="Q265" s="30"/>
      <c r="R265" s="24" t="str">
        <f aca="false">IF(OR(J265="",K265="",J265=0),"",1-K265/J265)</f>
        <v/>
      </c>
      <c r="S265" s="45" t="str">
        <f aca="false">IF(OR(I265="",M265=""),"",M265-I265)</f>
        <v/>
      </c>
      <c r="T265" s="24" t="str">
        <f aca="false">IF(OR(J265="",O265="",J265=0),"",O265/J265)</f>
        <v/>
      </c>
      <c r="U265" s="46" t="str">
        <f aca="false">IF(OR(J265="",G265="",G265=0),"",J265/G265)</f>
        <v/>
      </c>
      <c r="V265" s="46" t="str">
        <f aca="false">IF(OR(O265="",G265="",G265=0),"",O265/G265)</f>
        <v/>
      </c>
    </row>
    <row r="266" customFormat="false" ht="15" hidden="false" customHeight="false" outlineLevel="0" collapsed="false">
      <c r="A266" s="30"/>
      <c r="B266" s="30"/>
      <c r="C266" s="30"/>
      <c r="D266" s="30"/>
      <c r="E266" s="27"/>
      <c r="F266" s="47"/>
      <c r="G266" s="27"/>
      <c r="H266" s="30"/>
      <c r="I266" s="43"/>
      <c r="J266" s="41"/>
      <c r="K266" s="41"/>
      <c r="L266" s="30"/>
      <c r="M266" s="43"/>
      <c r="N266" s="43"/>
      <c r="O266" s="41"/>
      <c r="P266" s="43"/>
      <c r="Q266" s="30"/>
      <c r="R266" s="24" t="str">
        <f aca="false">IF(OR(J266="",K266="",J266=0),"",1-K266/J266)</f>
        <v/>
      </c>
      <c r="S266" s="45" t="str">
        <f aca="false">IF(OR(I266="",M266=""),"",M266-I266)</f>
        <v/>
      </c>
      <c r="T266" s="24" t="str">
        <f aca="false">IF(OR(J266="",O266="",J266=0),"",O266/J266)</f>
        <v/>
      </c>
      <c r="U266" s="46" t="str">
        <f aca="false">IF(OR(J266="",G266="",G266=0),"",J266/G266)</f>
        <v/>
      </c>
      <c r="V266" s="46" t="str">
        <f aca="false">IF(OR(O266="",G266="",G266=0),"",O266/G266)</f>
        <v/>
      </c>
    </row>
    <row r="267" customFormat="false" ht="15" hidden="false" customHeight="false" outlineLevel="0" collapsed="false">
      <c r="A267" s="30"/>
      <c r="B267" s="30"/>
      <c r="C267" s="30"/>
      <c r="D267" s="30"/>
      <c r="E267" s="27"/>
      <c r="F267" s="47"/>
      <c r="G267" s="27"/>
      <c r="H267" s="30"/>
      <c r="I267" s="43"/>
      <c r="J267" s="41"/>
      <c r="K267" s="41"/>
      <c r="L267" s="30"/>
      <c r="M267" s="43"/>
      <c r="N267" s="43"/>
      <c r="O267" s="41"/>
      <c r="P267" s="43"/>
      <c r="Q267" s="30"/>
      <c r="R267" s="24" t="str">
        <f aca="false">IF(OR(J267="",K267="",J267=0),"",1-K267/J267)</f>
        <v/>
      </c>
      <c r="S267" s="45" t="str">
        <f aca="false">IF(OR(I267="",M267=""),"",M267-I267)</f>
        <v/>
      </c>
      <c r="T267" s="24" t="str">
        <f aca="false">IF(OR(J267="",O267="",J267=0),"",O267/J267)</f>
        <v/>
      </c>
      <c r="U267" s="46" t="str">
        <f aca="false">IF(OR(J267="",G267="",G267=0),"",J267/G267)</f>
        <v/>
      </c>
      <c r="V267" s="46" t="str">
        <f aca="false">IF(OR(O267="",G267="",G267=0),"",O267/G267)</f>
        <v/>
      </c>
    </row>
    <row r="268" customFormat="false" ht="15" hidden="false" customHeight="false" outlineLevel="0" collapsed="false">
      <c r="A268" s="30"/>
      <c r="B268" s="30"/>
      <c r="C268" s="30"/>
      <c r="D268" s="30"/>
      <c r="E268" s="27"/>
      <c r="F268" s="47"/>
      <c r="G268" s="27"/>
      <c r="H268" s="30"/>
      <c r="I268" s="43"/>
      <c r="J268" s="41"/>
      <c r="K268" s="41"/>
      <c r="L268" s="30"/>
      <c r="M268" s="43"/>
      <c r="N268" s="43"/>
      <c r="O268" s="41"/>
      <c r="P268" s="43"/>
      <c r="Q268" s="30"/>
      <c r="R268" s="24" t="str">
        <f aca="false">IF(OR(J268="",K268="",J268=0),"",1-K268/J268)</f>
        <v/>
      </c>
      <c r="S268" s="45" t="str">
        <f aca="false">IF(OR(I268="",M268=""),"",M268-I268)</f>
        <v/>
      </c>
      <c r="T268" s="24" t="str">
        <f aca="false">IF(OR(J268="",O268="",J268=0),"",O268/J268)</f>
        <v/>
      </c>
      <c r="U268" s="46" t="str">
        <f aca="false">IF(OR(J268="",G268="",G268=0),"",J268/G268)</f>
        <v/>
      </c>
      <c r="V268" s="46" t="str">
        <f aca="false">IF(OR(O268="",G268="",G268=0),"",O268/G268)</f>
        <v/>
      </c>
    </row>
    <row r="269" customFormat="false" ht="15" hidden="false" customHeight="false" outlineLevel="0" collapsed="false">
      <c r="A269" s="30"/>
      <c r="B269" s="30"/>
      <c r="C269" s="30"/>
      <c r="D269" s="30"/>
      <c r="E269" s="27"/>
      <c r="F269" s="47"/>
      <c r="G269" s="27"/>
      <c r="H269" s="30"/>
      <c r="I269" s="43"/>
      <c r="J269" s="41"/>
      <c r="K269" s="41"/>
      <c r="L269" s="30"/>
      <c r="M269" s="43"/>
      <c r="N269" s="43"/>
      <c r="O269" s="41"/>
      <c r="P269" s="43"/>
      <c r="Q269" s="30"/>
      <c r="R269" s="24" t="str">
        <f aca="false">IF(OR(J269="",K269="",J269=0),"",1-K269/J269)</f>
        <v/>
      </c>
      <c r="S269" s="45" t="str">
        <f aca="false">IF(OR(I269="",M269=""),"",M269-I269)</f>
        <v/>
      </c>
      <c r="T269" s="24" t="str">
        <f aca="false">IF(OR(J269="",O269="",J269=0),"",O269/J269)</f>
        <v/>
      </c>
      <c r="U269" s="46" t="str">
        <f aca="false">IF(OR(J269="",G269="",G269=0),"",J269/G269)</f>
        <v/>
      </c>
      <c r="V269" s="46" t="str">
        <f aca="false">IF(OR(O269="",G269="",G269=0),"",O269/G269)</f>
        <v/>
      </c>
    </row>
    <row r="270" customFormat="false" ht="15" hidden="false" customHeight="false" outlineLevel="0" collapsed="false">
      <c r="A270" s="30"/>
      <c r="B270" s="30"/>
      <c r="C270" s="30"/>
      <c r="D270" s="30"/>
      <c r="E270" s="27"/>
      <c r="F270" s="47"/>
      <c r="G270" s="27"/>
      <c r="H270" s="30"/>
      <c r="I270" s="43"/>
      <c r="J270" s="41"/>
      <c r="K270" s="41"/>
      <c r="L270" s="30"/>
      <c r="M270" s="43"/>
      <c r="N270" s="43"/>
      <c r="O270" s="41"/>
      <c r="P270" s="43"/>
      <c r="Q270" s="30"/>
      <c r="R270" s="24" t="str">
        <f aca="false">IF(OR(J270="",K270="",J270=0),"",1-K270/J270)</f>
        <v/>
      </c>
      <c r="S270" s="45" t="str">
        <f aca="false">IF(OR(I270="",M270=""),"",M270-I270)</f>
        <v/>
      </c>
      <c r="T270" s="24" t="str">
        <f aca="false">IF(OR(J270="",O270="",J270=0),"",O270/J270)</f>
        <v/>
      </c>
      <c r="U270" s="46" t="str">
        <f aca="false">IF(OR(J270="",G270="",G270=0),"",J270/G270)</f>
        <v/>
      </c>
      <c r="V270" s="46" t="str">
        <f aca="false">IF(OR(O270="",G270="",G270=0),"",O270/G270)</f>
        <v/>
      </c>
    </row>
    <row r="271" customFormat="false" ht="15" hidden="false" customHeight="false" outlineLevel="0" collapsed="false">
      <c r="A271" s="30"/>
      <c r="B271" s="30"/>
      <c r="C271" s="30"/>
      <c r="D271" s="30"/>
      <c r="E271" s="27"/>
      <c r="F271" s="47"/>
      <c r="G271" s="27"/>
      <c r="H271" s="30"/>
      <c r="I271" s="43"/>
      <c r="J271" s="41"/>
      <c r="K271" s="41"/>
      <c r="L271" s="30"/>
      <c r="M271" s="43"/>
      <c r="N271" s="43"/>
      <c r="O271" s="41"/>
      <c r="P271" s="43"/>
      <c r="Q271" s="30"/>
      <c r="R271" s="24" t="str">
        <f aca="false">IF(OR(J271="",K271="",J271=0),"",1-K271/J271)</f>
        <v/>
      </c>
      <c r="S271" s="45" t="str">
        <f aca="false">IF(OR(I271="",M271=""),"",M271-I271)</f>
        <v/>
      </c>
      <c r="T271" s="24" t="str">
        <f aca="false">IF(OR(J271="",O271="",J271=0),"",O271/J271)</f>
        <v/>
      </c>
      <c r="U271" s="46" t="str">
        <f aca="false">IF(OR(J271="",G271="",G271=0),"",J271/G271)</f>
        <v/>
      </c>
      <c r="V271" s="46" t="str">
        <f aca="false">IF(OR(O271="",G271="",G271=0),"",O271/G271)</f>
        <v/>
      </c>
    </row>
    <row r="272" customFormat="false" ht="15" hidden="false" customHeight="false" outlineLevel="0" collapsed="false">
      <c r="A272" s="30"/>
      <c r="B272" s="30"/>
      <c r="C272" s="30"/>
      <c r="D272" s="30"/>
      <c r="E272" s="27"/>
      <c r="F272" s="47"/>
      <c r="G272" s="27"/>
      <c r="H272" s="30"/>
      <c r="I272" s="43"/>
      <c r="J272" s="41"/>
      <c r="K272" s="41"/>
      <c r="L272" s="30"/>
      <c r="M272" s="43"/>
      <c r="N272" s="43"/>
      <c r="O272" s="41"/>
      <c r="P272" s="43"/>
      <c r="Q272" s="30"/>
      <c r="R272" s="24" t="str">
        <f aca="false">IF(OR(J272="",K272="",J272=0),"",1-K272/J272)</f>
        <v/>
      </c>
      <c r="S272" s="45" t="str">
        <f aca="false">IF(OR(I272="",M272=""),"",M272-I272)</f>
        <v/>
      </c>
      <c r="T272" s="24" t="str">
        <f aca="false">IF(OR(J272="",O272="",J272=0),"",O272/J272)</f>
        <v/>
      </c>
      <c r="U272" s="46" t="str">
        <f aca="false">IF(OR(J272="",G272="",G272=0),"",J272/G272)</f>
        <v/>
      </c>
      <c r="V272" s="46" t="str">
        <f aca="false">IF(OR(O272="",G272="",G272=0),"",O272/G272)</f>
        <v/>
      </c>
    </row>
    <row r="273" customFormat="false" ht="15" hidden="false" customHeight="false" outlineLevel="0" collapsed="false">
      <c r="A273" s="30"/>
      <c r="B273" s="30"/>
      <c r="C273" s="30"/>
      <c r="D273" s="30"/>
      <c r="E273" s="27"/>
      <c r="F273" s="47"/>
      <c r="G273" s="27"/>
      <c r="H273" s="30"/>
      <c r="I273" s="43"/>
      <c r="J273" s="41"/>
      <c r="K273" s="41"/>
      <c r="L273" s="30"/>
      <c r="M273" s="43"/>
      <c r="N273" s="43"/>
      <c r="O273" s="41"/>
      <c r="P273" s="43"/>
      <c r="Q273" s="30"/>
      <c r="R273" s="24" t="str">
        <f aca="false">IF(OR(J273="",K273="",J273=0),"",1-K273/J273)</f>
        <v/>
      </c>
      <c r="S273" s="45" t="str">
        <f aca="false">IF(OR(I273="",M273=""),"",M273-I273)</f>
        <v/>
      </c>
      <c r="T273" s="24" t="str">
        <f aca="false">IF(OR(J273="",O273="",J273=0),"",O273/J273)</f>
        <v/>
      </c>
      <c r="U273" s="46" t="str">
        <f aca="false">IF(OR(J273="",G273="",G273=0),"",J273/G273)</f>
        <v/>
      </c>
      <c r="V273" s="46" t="str">
        <f aca="false">IF(OR(O273="",G273="",G273=0),"",O273/G273)</f>
        <v/>
      </c>
    </row>
    <row r="274" customFormat="false" ht="15" hidden="false" customHeight="false" outlineLevel="0" collapsed="false">
      <c r="A274" s="30"/>
      <c r="B274" s="30"/>
      <c r="C274" s="30"/>
      <c r="D274" s="30"/>
      <c r="E274" s="27"/>
      <c r="F274" s="47"/>
      <c r="G274" s="27"/>
      <c r="H274" s="30"/>
      <c r="I274" s="43"/>
      <c r="J274" s="41"/>
      <c r="K274" s="41"/>
      <c r="L274" s="30"/>
      <c r="M274" s="43"/>
      <c r="N274" s="43"/>
      <c r="O274" s="41"/>
      <c r="P274" s="43"/>
      <c r="Q274" s="30"/>
      <c r="R274" s="24" t="str">
        <f aca="false">IF(OR(J274="",K274="",J274=0),"",1-K274/J274)</f>
        <v/>
      </c>
      <c r="S274" s="45" t="str">
        <f aca="false">IF(OR(I274="",M274=""),"",M274-I274)</f>
        <v/>
      </c>
      <c r="T274" s="24" t="str">
        <f aca="false">IF(OR(J274="",O274="",J274=0),"",O274/J274)</f>
        <v/>
      </c>
      <c r="U274" s="46" t="str">
        <f aca="false">IF(OR(J274="",G274="",G274=0),"",J274/G274)</f>
        <v/>
      </c>
      <c r="V274" s="46" t="str">
        <f aca="false">IF(OR(O274="",G274="",G274=0),"",O274/G274)</f>
        <v/>
      </c>
    </row>
    <row r="275" customFormat="false" ht="15" hidden="false" customHeight="false" outlineLevel="0" collapsed="false">
      <c r="A275" s="30"/>
      <c r="B275" s="30"/>
      <c r="C275" s="30"/>
      <c r="D275" s="30"/>
      <c r="E275" s="27"/>
      <c r="F275" s="47"/>
      <c r="G275" s="27"/>
      <c r="H275" s="30"/>
      <c r="I275" s="43"/>
      <c r="J275" s="41"/>
      <c r="K275" s="41"/>
      <c r="L275" s="30"/>
      <c r="M275" s="43"/>
      <c r="N275" s="43"/>
      <c r="O275" s="41"/>
      <c r="P275" s="43"/>
      <c r="Q275" s="30"/>
      <c r="R275" s="24" t="str">
        <f aca="false">IF(OR(J275="",K275="",J275=0),"",1-K275/J275)</f>
        <v/>
      </c>
      <c r="S275" s="45" t="str">
        <f aca="false">IF(OR(I275="",M275=""),"",M275-I275)</f>
        <v/>
      </c>
      <c r="T275" s="24" t="str">
        <f aca="false">IF(OR(J275="",O275="",J275=0),"",O275/J275)</f>
        <v/>
      </c>
      <c r="U275" s="46" t="str">
        <f aca="false">IF(OR(J275="",G275="",G275=0),"",J275/G275)</f>
        <v/>
      </c>
      <c r="V275" s="46" t="str">
        <f aca="false">IF(OR(O275="",G275="",G275=0),"",O275/G275)</f>
        <v/>
      </c>
    </row>
    <row r="276" customFormat="false" ht="15" hidden="false" customHeight="false" outlineLevel="0" collapsed="false">
      <c r="A276" s="30"/>
      <c r="B276" s="30"/>
      <c r="C276" s="30"/>
      <c r="D276" s="30"/>
      <c r="E276" s="27"/>
      <c r="F276" s="47"/>
      <c r="G276" s="27"/>
      <c r="H276" s="30"/>
      <c r="I276" s="43"/>
      <c r="J276" s="41"/>
      <c r="K276" s="41"/>
      <c r="L276" s="30"/>
      <c r="M276" s="43"/>
      <c r="N276" s="43"/>
      <c r="O276" s="41"/>
      <c r="P276" s="43"/>
      <c r="Q276" s="30"/>
      <c r="R276" s="24" t="str">
        <f aca="false">IF(OR(J276="",K276="",J276=0),"",1-K276/J276)</f>
        <v/>
      </c>
      <c r="S276" s="45" t="str">
        <f aca="false">IF(OR(I276="",M276=""),"",M276-I276)</f>
        <v/>
      </c>
      <c r="T276" s="24" t="str">
        <f aca="false">IF(OR(J276="",O276="",J276=0),"",O276/J276)</f>
        <v/>
      </c>
      <c r="U276" s="46" t="str">
        <f aca="false">IF(OR(J276="",G276="",G276=0),"",J276/G276)</f>
        <v/>
      </c>
      <c r="V276" s="46" t="str">
        <f aca="false">IF(OR(O276="",G276="",G276=0),"",O276/G276)</f>
        <v/>
      </c>
    </row>
    <row r="277" customFormat="false" ht="15" hidden="false" customHeight="false" outlineLevel="0" collapsed="false">
      <c r="A277" s="30"/>
      <c r="B277" s="30"/>
      <c r="C277" s="30"/>
      <c r="D277" s="30"/>
      <c r="E277" s="27"/>
      <c r="F277" s="47"/>
      <c r="G277" s="27"/>
      <c r="H277" s="30"/>
      <c r="I277" s="43"/>
      <c r="J277" s="41"/>
      <c r="K277" s="41"/>
      <c r="L277" s="30"/>
      <c r="M277" s="43"/>
      <c r="N277" s="43"/>
      <c r="O277" s="41"/>
      <c r="P277" s="43"/>
      <c r="Q277" s="30"/>
      <c r="R277" s="24" t="str">
        <f aca="false">IF(OR(J277="",K277="",J277=0),"",1-K277/J277)</f>
        <v/>
      </c>
      <c r="S277" s="45" t="str">
        <f aca="false">IF(OR(I277="",M277=""),"",M277-I277)</f>
        <v/>
      </c>
      <c r="T277" s="24" t="str">
        <f aca="false">IF(OR(J277="",O277="",J277=0),"",O277/J277)</f>
        <v/>
      </c>
      <c r="U277" s="46" t="str">
        <f aca="false">IF(OR(J277="",G277="",G277=0),"",J277/G277)</f>
        <v/>
      </c>
      <c r="V277" s="46" t="str">
        <f aca="false">IF(OR(O277="",G277="",G277=0),"",O277/G277)</f>
        <v/>
      </c>
    </row>
    <row r="278" customFormat="false" ht="15" hidden="false" customHeight="false" outlineLevel="0" collapsed="false">
      <c r="A278" s="30"/>
      <c r="B278" s="30"/>
      <c r="C278" s="30"/>
      <c r="D278" s="30"/>
      <c r="E278" s="27"/>
      <c r="F278" s="47"/>
      <c r="G278" s="27"/>
      <c r="H278" s="30"/>
      <c r="I278" s="43"/>
      <c r="J278" s="41"/>
      <c r="K278" s="41"/>
      <c r="L278" s="30"/>
      <c r="M278" s="43"/>
      <c r="N278" s="43"/>
      <c r="O278" s="41"/>
      <c r="P278" s="43"/>
      <c r="Q278" s="30"/>
      <c r="R278" s="24" t="str">
        <f aca="false">IF(OR(J278="",K278="",J278=0),"",1-K278/J278)</f>
        <v/>
      </c>
      <c r="S278" s="45" t="str">
        <f aca="false">IF(OR(I278="",M278=""),"",M278-I278)</f>
        <v/>
      </c>
      <c r="T278" s="24" t="str">
        <f aca="false">IF(OR(J278="",O278="",J278=0),"",O278/J278)</f>
        <v/>
      </c>
      <c r="U278" s="46" t="str">
        <f aca="false">IF(OR(J278="",G278="",G278=0),"",J278/G278)</f>
        <v/>
      </c>
      <c r="V278" s="46" t="str">
        <f aca="false">IF(OR(O278="",G278="",G278=0),"",O278/G278)</f>
        <v/>
      </c>
    </row>
    <row r="279" customFormat="false" ht="15" hidden="false" customHeight="false" outlineLevel="0" collapsed="false">
      <c r="A279" s="30"/>
      <c r="B279" s="30"/>
      <c r="C279" s="30"/>
      <c r="D279" s="30"/>
      <c r="E279" s="27"/>
      <c r="F279" s="47"/>
      <c r="G279" s="27"/>
      <c r="H279" s="30"/>
      <c r="I279" s="43"/>
      <c r="J279" s="41"/>
      <c r="K279" s="41"/>
      <c r="L279" s="30"/>
      <c r="M279" s="43"/>
      <c r="N279" s="43"/>
      <c r="O279" s="41"/>
      <c r="P279" s="43"/>
      <c r="Q279" s="30"/>
      <c r="R279" s="24" t="str">
        <f aca="false">IF(OR(J279="",K279="",J279=0),"",1-K279/J279)</f>
        <v/>
      </c>
      <c r="S279" s="45" t="str">
        <f aca="false">IF(OR(I279="",M279=""),"",M279-I279)</f>
        <v/>
      </c>
      <c r="T279" s="24" t="str">
        <f aca="false">IF(OR(J279="",O279="",J279=0),"",O279/J279)</f>
        <v/>
      </c>
      <c r="U279" s="46" t="str">
        <f aca="false">IF(OR(J279="",G279="",G279=0),"",J279/G279)</f>
        <v/>
      </c>
      <c r="V279" s="46" t="str">
        <f aca="false">IF(OR(O279="",G279="",G279=0),"",O279/G279)</f>
        <v/>
      </c>
    </row>
    <row r="280" customFormat="false" ht="15" hidden="false" customHeight="false" outlineLevel="0" collapsed="false">
      <c r="A280" s="30"/>
      <c r="B280" s="30"/>
      <c r="C280" s="30"/>
      <c r="D280" s="30"/>
      <c r="E280" s="27"/>
      <c r="F280" s="47"/>
      <c r="G280" s="27"/>
      <c r="H280" s="30"/>
      <c r="I280" s="43"/>
      <c r="J280" s="41"/>
      <c r="K280" s="41"/>
      <c r="L280" s="30"/>
      <c r="M280" s="43"/>
      <c r="N280" s="43"/>
      <c r="O280" s="41"/>
      <c r="P280" s="43"/>
      <c r="Q280" s="30"/>
      <c r="R280" s="24" t="str">
        <f aca="false">IF(OR(J280="",K280="",J280=0),"",1-K280/J280)</f>
        <v/>
      </c>
      <c r="S280" s="45" t="str">
        <f aca="false">IF(OR(I280="",M280=""),"",M280-I280)</f>
        <v/>
      </c>
      <c r="T280" s="24" t="str">
        <f aca="false">IF(OR(J280="",O280="",J280=0),"",O280/J280)</f>
        <v/>
      </c>
      <c r="U280" s="46" t="str">
        <f aca="false">IF(OR(J280="",G280="",G280=0),"",J280/G280)</f>
        <v/>
      </c>
      <c r="V280" s="46" t="str">
        <f aca="false">IF(OR(O280="",G280="",G280=0),"",O280/G280)</f>
        <v/>
      </c>
    </row>
    <row r="281" customFormat="false" ht="15" hidden="false" customHeight="false" outlineLevel="0" collapsed="false">
      <c r="A281" s="30"/>
      <c r="B281" s="30"/>
      <c r="C281" s="30"/>
      <c r="D281" s="30"/>
      <c r="E281" s="27"/>
      <c r="F281" s="47"/>
      <c r="G281" s="27"/>
      <c r="H281" s="30"/>
      <c r="I281" s="43"/>
      <c r="J281" s="41"/>
      <c r="K281" s="41"/>
      <c r="L281" s="30"/>
      <c r="M281" s="43"/>
      <c r="N281" s="43"/>
      <c r="O281" s="41"/>
      <c r="P281" s="43"/>
      <c r="Q281" s="30"/>
      <c r="R281" s="24" t="str">
        <f aca="false">IF(OR(J281="",K281="",J281=0),"",1-K281/J281)</f>
        <v/>
      </c>
      <c r="S281" s="45" t="str">
        <f aca="false">IF(OR(I281="",M281=""),"",M281-I281)</f>
        <v/>
      </c>
      <c r="T281" s="24" t="str">
        <f aca="false">IF(OR(J281="",O281="",J281=0),"",O281/J281)</f>
        <v/>
      </c>
      <c r="U281" s="46" t="str">
        <f aca="false">IF(OR(J281="",G281="",G281=0),"",J281/G281)</f>
        <v/>
      </c>
      <c r="V281" s="46" t="str">
        <f aca="false">IF(OR(O281="",G281="",G281=0),"",O281/G281)</f>
        <v/>
      </c>
    </row>
    <row r="282" customFormat="false" ht="15" hidden="false" customHeight="false" outlineLevel="0" collapsed="false">
      <c r="A282" s="30"/>
      <c r="B282" s="30"/>
      <c r="C282" s="30"/>
      <c r="D282" s="30"/>
      <c r="E282" s="27"/>
      <c r="F282" s="47"/>
      <c r="G282" s="27"/>
      <c r="H282" s="30"/>
      <c r="I282" s="43"/>
      <c r="J282" s="41"/>
      <c r="K282" s="41"/>
      <c r="L282" s="30"/>
      <c r="M282" s="43"/>
      <c r="N282" s="43"/>
      <c r="O282" s="41"/>
      <c r="P282" s="43"/>
      <c r="Q282" s="30"/>
      <c r="R282" s="24" t="str">
        <f aca="false">IF(OR(J282="",K282="",J282=0),"",1-K282/J282)</f>
        <v/>
      </c>
      <c r="S282" s="45" t="str">
        <f aca="false">IF(OR(I282="",M282=""),"",M282-I282)</f>
        <v/>
      </c>
      <c r="T282" s="24" t="str">
        <f aca="false">IF(OR(J282="",O282="",J282=0),"",O282/J282)</f>
        <v/>
      </c>
      <c r="U282" s="46" t="str">
        <f aca="false">IF(OR(J282="",G282="",G282=0),"",J282/G282)</f>
        <v/>
      </c>
      <c r="V282" s="46" t="str">
        <f aca="false">IF(OR(O282="",G282="",G282=0),"",O282/G282)</f>
        <v/>
      </c>
    </row>
    <row r="283" customFormat="false" ht="15" hidden="false" customHeight="false" outlineLevel="0" collapsed="false">
      <c r="A283" s="30"/>
      <c r="B283" s="30"/>
      <c r="C283" s="30"/>
      <c r="D283" s="30"/>
      <c r="E283" s="27"/>
      <c r="F283" s="47"/>
      <c r="G283" s="27"/>
      <c r="H283" s="30"/>
      <c r="I283" s="43"/>
      <c r="J283" s="41"/>
      <c r="K283" s="41"/>
      <c r="L283" s="30"/>
      <c r="M283" s="43"/>
      <c r="N283" s="43"/>
      <c r="O283" s="41"/>
      <c r="P283" s="43"/>
      <c r="Q283" s="30"/>
      <c r="R283" s="24" t="str">
        <f aca="false">IF(OR(J283="",K283="",J283=0),"",1-K283/J283)</f>
        <v/>
      </c>
      <c r="S283" s="45" t="str">
        <f aca="false">IF(OR(I283="",M283=""),"",M283-I283)</f>
        <v/>
      </c>
      <c r="T283" s="24" t="str">
        <f aca="false">IF(OR(J283="",O283="",J283=0),"",O283/J283)</f>
        <v/>
      </c>
      <c r="U283" s="46" t="str">
        <f aca="false">IF(OR(J283="",G283="",G283=0),"",J283/G283)</f>
        <v/>
      </c>
      <c r="V283" s="46" t="str">
        <f aca="false">IF(OR(O283="",G283="",G283=0),"",O283/G283)</f>
        <v/>
      </c>
    </row>
    <row r="284" customFormat="false" ht="15" hidden="false" customHeight="false" outlineLevel="0" collapsed="false">
      <c r="A284" s="30"/>
      <c r="B284" s="30"/>
      <c r="C284" s="30"/>
      <c r="D284" s="30"/>
      <c r="E284" s="27"/>
      <c r="F284" s="47"/>
      <c r="G284" s="27"/>
      <c r="H284" s="30"/>
      <c r="I284" s="43"/>
      <c r="J284" s="41"/>
      <c r="K284" s="41"/>
      <c r="L284" s="30"/>
      <c r="M284" s="43"/>
      <c r="N284" s="43"/>
      <c r="O284" s="41"/>
      <c r="P284" s="43"/>
      <c r="Q284" s="30"/>
      <c r="R284" s="24" t="str">
        <f aca="false">IF(OR(J284="",K284="",J284=0),"",1-K284/J284)</f>
        <v/>
      </c>
      <c r="S284" s="45" t="str">
        <f aca="false">IF(OR(I284="",M284=""),"",M284-I284)</f>
        <v/>
      </c>
      <c r="T284" s="24" t="str">
        <f aca="false">IF(OR(J284="",O284="",J284=0),"",O284/J284)</f>
        <v/>
      </c>
      <c r="U284" s="46" t="str">
        <f aca="false">IF(OR(J284="",G284="",G284=0),"",J284/G284)</f>
        <v/>
      </c>
      <c r="V284" s="46" t="str">
        <f aca="false">IF(OR(O284="",G284="",G284=0),"",O284/G284)</f>
        <v/>
      </c>
    </row>
    <row r="285" customFormat="false" ht="15" hidden="false" customHeight="false" outlineLevel="0" collapsed="false">
      <c r="A285" s="30"/>
      <c r="B285" s="30"/>
      <c r="C285" s="30"/>
      <c r="D285" s="30"/>
      <c r="E285" s="27"/>
      <c r="F285" s="47"/>
      <c r="G285" s="27"/>
      <c r="H285" s="30"/>
      <c r="I285" s="43"/>
      <c r="J285" s="41"/>
      <c r="K285" s="41"/>
      <c r="L285" s="30"/>
      <c r="M285" s="43"/>
      <c r="N285" s="43"/>
      <c r="O285" s="41"/>
      <c r="P285" s="43"/>
      <c r="Q285" s="30"/>
      <c r="R285" s="24" t="str">
        <f aca="false">IF(OR(J285="",K285="",J285=0),"",1-K285/J285)</f>
        <v/>
      </c>
      <c r="S285" s="45" t="str">
        <f aca="false">IF(OR(I285="",M285=""),"",M285-I285)</f>
        <v/>
      </c>
      <c r="T285" s="24" t="str">
        <f aca="false">IF(OR(J285="",O285="",J285=0),"",O285/J285)</f>
        <v/>
      </c>
      <c r="U285" s="46" t="str">
        <f aca="false">IF(OR(J285="",G285="",G285=0),"",J285/G285)</f>
        <v/>
      </c>
      <c r="V285" s="46" t="str">
        <f aca="false">IF(OR(O285="",G285="",G285=0),"",O285/G285)</f>
        <v/>
      </c>
    </row>
    <row r="286" customFormat="false" ht="15" hidden="false" customHeight="false" outlineLevel="0" collapsed="false">
      <c r="A286" s="30"/>
      <c r="B286" s="30"/>
      <c r="C286" s="30"/>
      <c r="D286" s="30"/>
      <c r="E286" s="27"/>
      <c r="F286" s="47"/>
      <c r="G286" s="27"/>
      <c r="H286" s="30"/>
      <c r="I286" s="43"/>
      <c r="J286" s="41"/>
      <c r="K286" s="41"/>
      <c r="L286" s="30"/>
      <c r="M286" s="43"/>
      <c r="N286" s="43"/>
      <c r="O286" s="41"/>
      <c r="P286" s="43"/>
      <c r="Q286" s="30"/>
      <c r="R286" s="24" t="str">
        <f aca="false">IF(OR(J286="",K286="",J286=0),"",1-K286/J286)</f>
        <v/>
      </c>
      <c r="S286" s="45" t="str">
        <f aca="false">IF(OR(I286="",M286=""),"",M286-I286)</f>
        <v/>
      </c>
      <c r="T286" s="24" t="str">
        <f aca="false">IF(OR(J286="",O286="",J286=0),"",O286/J286)</f>
        <v/>
      </c>
      <c r="U286" s="46" t="str">
        <f aca="false">IF(OR(J286="",G286="",G286=0),"",J286/G286)</f>
        <v/>
      </c>
      <c r="V286" s="46" t="str">
        <f aca="false">IF(OR(O286="",G286="",G286=0),"",O286/G286)</f>
        <v/>
      </c>
    </row>
    <row r="287" customFormat="false" ht="15" hidden="false" customHeight="false" outlineLevel="0" collapsed="false">
      <c r="A287" s="30"/>
      <c r="B287" s="30"/>
      <c r="C287" s="30"/>
      <c r="D287" s="30"/>
      <c r="E287" s="27"/>
      <c r="F287" s="47"/>
      <c r="G287" s="27"/>
      <c r="H287" s="30"/>
      <c r="I287" s="43"/>
      <c r="J287" s="41"/>
      <c r="K287" s="41"/>
      <c r="L287" s="30"/>
      <c r="M287" s="43"/>
      <c r="N287" s="43"/>
      <c r="O287" s="41"/>
      <c r="P287" s="43"/>
      <c r="Q287" s="30"/>
      <c r="R287" s="24" t="str">
        <f aca="false">IF(OR(J287="",K287="",J287=0),"",1-K287/J287)</f>
        <v/>
      </c>
      <c r="S287" s="45" t="str">
        <f aca="false">IF(OR(I287="",M287=""),"",M287-I287)</f>
        <v/>
      </c>
      <c r="T287" s="24" t="str">
        <f aca="false">IF(OR(J287="",O287="",J287=0),"",O287/J287)</f>
        <v/>
      </c>
      <c r="U287" s="46" t="str">
        <f aca="false">IF(OR(J287="",G287="",G287=0),"",J287/G287)</f>
        <v/>
      </c>
      <c r="V287" s="46" t="str">
        <f aca="false">IF(OR(O287="",G287="",G287=0),"",O287/G287)</f>
        <v/>
      </c>
    </row>
    <row r="288" customFormat="false" ht="15" hidden="false" customHeight="false" outlineLevel="0" collapsed="false">
      <c r="A288" s="30"/>
      <c r="B288" s="30"/>
      <c r="C288" s="30"/>
      <c r="D288" s="30"/>
      <c r="E288" s="27"/>
      <c r="F288" s="47"/>
      <c r="G288" s="27"/>
      <c r="H288" s="30"/>
      <c r="I288" s="43"/>
      <c r="J288" s="41"/>
      <c r="K288" s="41"/>
      <c r="L288" s="30"/>
      <c r="M288" s="43"/>
      <c r="N288" s="43"/>
      <c r="O288" s="41"/>
      <c r="P288" s="43"/>
      <c r="Q288" s="30"/>
      <c r="R288" s="24" t="str">
        <f aca="false">IF(OR(J288="",K288="",J288=0),"",1-K288/J288)</f>
        <v/>
      </c>
      <c r="S288" s="45" t="str">
        <f aca="false">IF(OR(I288="",M288=""),"",M288-I288)</f>
        <v/>
      </c>
      <c r="T288" s="24" t="str">
        <f aca="false">IF(OR(J288="",O288="",J288=0),"",O288/J288)</f>
        <v/>
      </c>
      <c r="U288" s="46" t="str">
        <f aca="false">IF(OR(J288="",G288="",G288=0),"",J288/G288)</f>
        <v/>
      </c>
      <c r="V288" s="46" t="str">
        <f aca="false">IF(OR(O288="",G288="",G288=0),"",O288/G288)</f>
        <v/>
      </c>
    </row>
    <row r="289" customFormat="false" ht="15" hidden="false" customHeight="false" outlineLevel="0" collapsed="false">
      <c r="A289" s="30"/>
      <c r="B289" s="30"/>
      <c r="C289" s="30"/>
      <c r="D289" s="30"/>
      <c r="E289" s="27"/>
      <c r="F289" s="47"/>
      <c r="G289" s="27"/>
      <c r="H289" s="30"/>
      <c r="I289" s="43"/>
      <c r="J289" s="41"/>
      <c r="K289" s="41"/>
      <c r="L289" s="30"/>
      <c r="M289" s="43"/>
      <c r="N289" s="43"/>
      <c r="O289" s="41"/>
      <c r="P289" s="43"/>
      <c r="Q289" s="30"/>
      <c r="R289" s="24" t="str">
        <f aca="false">IF(OR(J289="",K289="",J289=0),"",1-K289/J289)</f>
        <v/>
      </c>
      <c r="S289" s="45" t="str">
        <f aca="false">IF(OR(I289="",M289=""),"",M289-I289)</f>
        <v/>
      </c>
      <c r="T289" s="24" t="str">
        <f aca="false">IF(OR(J289="",O289="",J289=0),"",O289/J289)</f>
        <v/>
      </c>
      <c r="U289" s="46" t="str">
        <f aca="false">IF(OR(J289="",G289="",G289=0),"",J289/G289)</f>
        <v/>
      </c>
      <c r="V289" s="46" t="str">
        <f aca="false">IF(OR(O289="",G289="",G289=0),"",O289/G289)</f>
        <v/>
      </c>
    </row>
    <row r="290" customFormat="false" ht="15" hidden="false" customHeight="false" outlineLevel="0" collapsed="false">
      <c r="A290" s="30"/>
      <c r="B290" s="30"/>
      <c r="C290" s="30"/>
      <c r="D290" s="30"/>
      <c r="E290" s="27"/>
      <c r="F290" s="47"/>
      <c r="G290" s="27"/>
      <c r="H290" s="30"/>
      <c r="I290" s="43"/>
      <c r="J290" s="41"/>
      <c r="K290" s="41"/>
      <c r="L290" s="30"/>
      <c r="M290" s="43"/>
      <c r="N290" s="43"/>
      <c r="O290" s="41"/>
      <c r="P290" s="43"/>
      <c r="Q290" s="30"/>
      <c r="R290" s="24" t="str">
        <f aca="false">IF(OR(J290="",K290="",J290=0),"",1-K290/J290)</f>
        <v/>
      </c>
      <c r="S290" s="45" t="str">
        <f aca="false">IF(OR(I290="",M290=""),"",M290-I290)</f>
        <v/>
      </c>
      <c r="T290" s="24" t="str">
        <f aca="false">IF(OR(J290="",O290="",J290=0),"",O290/J290)</f>
        <v/>
      </c>
      <c r="U290" s="46" t="str">
        <f aca="false">IF(OR(J290="",G290="",G290=0),"",J290/G290)</f>
        <v/>
      </c>
      <c r="V290" s="46" t="str">
        <f aca="false">IF(OR(O290="",G290="",G290=0),"",O290/G290)</f>
        <v/>
      </c>
    </row>
    <row r="291" customFormat="false" ht="15" hidden="false" customHeight="false" outlineLevel="0" collapsed="false">
      <c r="A291" s="30"/>
      <c r="B291" s="30"/>
      <c r="C291" s="30"/>
      <c r="D291" s="30"/>
      <c r="E291" s="27"/>
      <c r="F291" s="47"/>
      <c r="G291" s="27"/>
      <c r="H291" s="30"/>
      <c r="I291" s="43"/>
      <c r="J291" s="41"/>
      <c r="K291" s="41"/>
      <c r="L291" s="30"/>
      <c r="M291" s="43"/>
      <c r="N291" s="43"/>
      <c r="O291" s="41"/>
      <c r="P291" s="43"/>
      <c r="Q291" s="30"/>
      <c r="R291" s="24" t="str">
        <f aca="false">IF(OR(J291="",K291="",J291=0),"",1-K291/J291)</f>
        <v/>
      </c>
      <c r="S291" s="45" t="str">
        <f aca="false">IF(OR(I291="",M291=""),"",M291-I291)</f>
        <v/>
      </c>
      <c r="T291" s="24" t="str">
        <f aca="false">IF(OR(J291="",O291="",J291=0),"",O291/J291)</f>
        <v/>
      </c>
      <c r="U291" s="46" t="str">
        <f aca="false">IF(OR(J291="",G291="",G291=0),"",J291/G291)</f>
        <v/>
      </c>
      <c r="V291" s="46" t="str">
        <f aca="false">IF(OR(O291="",G291="",G291=0),"",O291/G291)</f>
        <v/>
      </c>
    </row>
    <row r="292" customFormat="false" ht="15" hidden="false" customHeight="false" outlineLevel="0" collapsed="false">
      <c r="A292" s="30"/>
      <c r="B292" s="30"/>
      <c r="C292" s="30"/>
      <c r="D292" s="30"/>
      <c r="E292" s="27"/>
      <c r="F292" s="47"/>
      <c r="G292" s="27"/>
      <c r="H292" s="30"/>
      <c r="I292" s="43"/>
      <c r="J292" s="41"/>
      <c r="K292" s="41"/>
      <c r="L292" s="30"/>
      <c r="M292" s="43"/>
      <c r="N292" s="43"/>
      <c r="O292" s="41"/>
      <c r="P292" s="43"/>
      <c r="Q292" s="30"/>
      <c r="R292" s="24" t="str">
        <f aca="false">IF(OR(J292="",K292="",J292=0),"",1-K292/J292)</f>
        <v/>
      </c>
      <c r="S292" s="45" t="str">
        <f aca="false">IF(OR(I292="",M292=""),"",M292-I292)</f>
        <v/>
      </c>
      <c r="T292" s="24" t="str">
        <f aca="false">IF(OR(J292="",O292="",J292=0),"",O292/J292)</f>
        <v/>
      </c>
      <c r="U292" s="46" t="str">
        <f aca="false">IF(OR(J292="",G292="",G292=0),"",J292/G292)</f>
        <v/>
      </c>
      <c r="V292" s="46" t="str">
        <f aca="false">IF(OR(O292="",G292="",G292=0),"",O292/G292)</f>
        <v/>
      </c>
    </row>
    <row r="293" customFormat="false" ht="15" hidden="false" customHeight="false" outlineLevel="0" collapsed="false">
      <c r="A293" s="30"/>
      <c r="B293" s="30"/>
      <c r="C293" s="30"/>
      <c r="D293" s="30"/>
      <c r="E293" s="27"/>
      <c r="F293" s="47"/>
      <c r="G293" s="27"/>
      <c r="H293" s="30"/>
      <c r="I293" s="43"/>
      <c r="J293" s="41"/>
      <c r="K293" s="41"/>
      <c r="L293" s="30"/>
      <c r="M293" s="43"/>
      <c r="N293" s="43"/>
      <c r="O293" s="41"/>
      <c r="P293" s="43"/>
      <c r="Q293" s="30"/>
      <c r="R293" s="24" t="str">
        <f aca="false">IF(OR(J293="",K293="",J293=0),"",1-K293/J293)</f>
        <v/>
      </c>
      <c r="S293" s="45" t="str">
        <f aca="false">IF(OR(I293="",M293=""),"",M293-I293)</f>
        <v/>
      </c>
      <c r="T293" s="24" t="str">
        <f aca="false">IF(OR(J293="",O293="",J293=0),"",O293/J293)</f>
        <v/>
      </c>
      <c r="U293" s="46" t="str">
        <f aca="false">IF(OR(J293="",G293="",G293=0),"",J293/G293)</f>
        <v/>
      </c>
      <c r="V293" s="46" t="str">
        <f aca="false">IF(OR(O293="",G293="",G293=0),"",O293/G293)</f>
        <v/>
      </c>
    </row>
    <row r="294" customFormat="false" ht="15" hidden="false" customHeight="false" outlineLevel="0" collapsed="false">
      <c r="A294" s="30"/>
      <c r="B294" s="30"/>
      <c r="C294" s="30"/>
      <c r="D294" s="30"/>
      <c r="E294" s="27"/>
      <c r="F294" s="47"/>
      <c r="G294" s="27"/>
      <c r="H294" s="30"/>
      <c r="I294" s="43"/>
      <c r="J294" s="41"/>
      <c r="K294" s="41"/>
      <c r="L294" s="30"/>
      <c r="M294" s="43"/>
      <c r="N294" s="43"/>
      <c r="O294" s="41"/>
      <c r="P294" s="43"/>
      <c r="Q294" s="30"/>
      <c r="R294" s="24" t="str">
        <f aca="false">IF(OR(J294="",K294="",J294=0),"",1-K294/J294)</f>
        <v/>
      </c>
      <c r="S294" s="45" t="str">
        <f aca="false">IF(OR(I294="",M294=""),"",M294-I294)</f>
        <v/>
      </c>
      <c r="T294" s="24" t="str">
        <f aca="false">IF(OR(J294="",O294="",J294=0),"",O294/J294)</f>
        <v/>
      </c>
      <c r="U294" s="46" t="str">
        <f aca="false">IF(OR(J294="",G294="",G294=0),"",J294/G294)</f>
        <v/>
      </c>
      <c r="V294" s="46" t="str">
        <f aca="false">IF(OR(O294="",G294="",G294=0),"",O294/G294)</f>
        <v/>
      </c>
    </row>
    <row r="295" customFormat="false" ht="15" hidden="false" customHeight="false" outlineLevel="0" collapsed="false">
      <c r="A295" s="30"/>
      <c r="B295" s="30"/>
      <c r="C295" s="30"/>
      <c r="D295" s="30"/>
      <c r="E295" s="27"/>
      <c r="F295" s="47"/>
      <c r="G295" s="27"/>
      <c r="H295" s="30"/>
      <c r="I295" s="43"/>
      <c r="J295" s="41"/>
      <c r="K295" s="41"/>
      <c r="L295" s="30"/>
      <c r="M295" s="43"/>
      <c r="N295" s="43"/>
      <c r="O295" s="41"/>
      <c r="P295" s="43"/>
      <c r="Q295" s="30"/>
      <c r="R295" s="24" t="str">
        <f aca="false">IF(OR(J295="",K295="",J295=0),"",1-K295/J295)</f>
        <v/>
      </c>
      <c r="S295" s="45" t="str">
        <f aca="false">IF(OR(I295="",M295=""),"",M295-I295)</f>
        <v/>
      </c>
      <c r="T295" s="24" t="str">
        <f aca="false">IF(OR(J295="",O295="",J295=0),"",O295/J295)</f>
        <v/>
      </c>
      <c r="U295" s="46" t="str">
        <f aca="false">IF(OR(J295="",G295="",G295=0),"",J295/G295)</f>
        <v/>
      </c>
      <c r="V295" s="46" t="str">
        <f aca="false">IF(OR(O295="",G295="",G295=0),"",O295/G295)</f>
        <v/>
      </c>
    </row>
    <row r="296" customFormat="false" ht="15" hidden="false" customHeight="false" outlineLevel="0" collapsed="false">
      <c r="A296" s="30"/>
      <c r="B296" s="30"/>
      <c r="C296" s="30"/>
      <c r="D296" s="30"/>
      <c r="E296" s="27"/>
      <c r="F296" s="47"/>
      <c r="G296" s="27"/>
      <c r="H296" s="30"/>
      <c r="I296" s="43"/>
      <c r="J296" s="41"/>
      <c r="K296" s="41"/>
      <c r="L296" s="30"/>
      <c r="M296" s="43"/>
      <c r="N296" s="43"/>
      <c r="O296" s="41"/>
      <c r="P296" s="43"/>
      <c r="Q296" s="30"/>
      <c r="R296" s="24" t="str">
        <f aca="false">IF(OR(J296="",K296="",J296=0),"",1-K296/J296)</f>
        <v/>
      </c>
      <c r="S296" s="45" t="str">
        <f aca="false">IF(OR(I296="",M296=""),"",M296-I296)</f>
        <v/>
      </c>
      <c r="T296" s="24" t="str">
        <f aca="false">IF(OR(J296="",O296="",J296=0),"",O296/J296)</f>
        <v/>
      </c>
      <c r="U296" s="46" t="str">
        <f aca="false">IF(OR(J296="",G296="",G296=0),"",J296/G296)</f>
        <v/>
      </c>
      <c r="V296" s="46" t="str">
        <f aca="false">IF(OR(O296="",G296="",G296=0),"",O296/G296)</f>
        <v/>
      </c>
    </row>
    <row r="297" customFormat="false" ht="15" hidden="false" customHeight="false" outlineLevel="0" collapsed="false">
      <c r="A297" s="30"/>
      <c r="B297" s="30"/>
      <c r="C297" s="30"/>
      <c r="D297" s="30"/>
      <c r="E297" s="27"/>
      <c r="F297" s="47"/>
      <c r="G297" s="27"/>
      <c r="H297" s="30"/>
      <c r="I297" s="43"/>
      <c r="J297" s="41"/>
      <c r="K297" s="41"/>
      <c r="L297" s="30"/>
      <c r="M297" s="43"/>
      <c r="N297" s="43"/>
      <c r="O297" s="41"/>
      <c r="P297" s="43"/>
      <c r="Q297" s="30"/>
      <c r="R297" s="24" t="str">
        <f aca="false">IF(OR(J297="",K297="",J297=0),"",1-K297/J297)</f>
        <v/>
      </c>
      <c r="S297" s="45" t="str">
        <f aca="false">IF(OR(I297="",M297=""),"",M297-I297)</f>
        <v/>
      </c>
      <c r="T297" s="24" t="str">
        <f aca="false">IF(OR(J297="",O297="",J297=0),"",O297/J297)</f>
        <v/>
      </c>
      <c r="U297" s="46" t="str">
        <f aca="false">IF(OR(J297="",G297="",G297=0),"",J297/G297)</f>
        <v/>
      </c>
      <c r="V297" s="46" t="str">
        <f aca="false">IF(OR(O297="",G297="",G297=0),"",O297/G297)</f>
        <v/>
      </c>
    </row>
    <row r="298" customFormat="false" ht="15" hidden="false" customHeight="false" outlineLevel="0" collapsed="false">
      <c r="A298" s="30"/>
      <c r="B298" s="30"/>
      <c r="C298" s="30"/>
      <c r="D298" s="30"/>
      <c r="E298" s="27"/>
      <c r="F298" s="47"/>
      <c r="G298" s="27"/>
      <c r="H298" s="30"/>
      <c r="I298" s="43"/>
      <c r="J298" s="41"/>
      <c r="K298" s="41"/>
      <c r="L298" s="30"/>
      <c r="M298" s="43"/>
      <c r="N298" s="43"/>
      <c r="O298" s="41"/>
      <c r="P298" s="43"/>
      <c r="Q298" s="30"/>
      <c r="R298" s="24" t="str">
        <f aca="false">IF(OR(J298="",K298="",J298=0),"",1-K298/J298)</f>
        <v/>
      </c>
      <c r="S298" s="45" t="str">
        <f aca="false">IF(OR(I298="",M298=""),"",M298-I298)</f>
        <v/>
      </c>
      <c r="T298" s="24" t="str">
        <f aca="false">IF(OR(J298="",O298="",J298=0),"",O298/J298)</f>
        <v/>
      </c>
      <c r="U298" s="46" t="str">
        <f aca="false">IF(OR(J298="",G298="",G298=0),"",J298/G298)</f>
        <v/>
      </c>
      <c r="V298" s="46" t="str">
        <f aca="false">IF(OR(O298="",G298="",G298=0),"",O298/G298)</f>
        <v/>
      </c>
    </row>
    <row r="299" customFormat="false" ht="15" hidden="false" customHeight="false" outlineLevel="0" collapsed="false">
      <c r="A299" s="30"/>
      <c r="B299" s="30"/>
      <c r="C299" s="30"/>
      <c r="D299" s="30"/>
      <c r="E299" s="27"/>
      <c r="F299" s="47"/>
      <c r="G299" s="27"/>
      <c r="H299" s="30"/>
      <c r="I299" s="43"/>
      <c r="J299" s="41"/>
      <c r="K299" s="41"/>
      <c r="L299" s="30"/>
      <c r="M299" s="43"/>
      <c r="N299" s="43"/>
      <c r="O299" s="41"/>
      <c r="P299" s="43"/>
      <c r="Q299" s="30"/>
      <c r="R299" s="24" t="str">
        <f aca="false">IF(OR(J299="",K299="",J299=0),"",1-K299/J299)</f>
        <v/>
      </c>
      <c r="S299" s="45" t="str">
        <f aca="false">IF(OR(I299="",M299=""),"",M299-I299)</f>
        <v/>
      </c>
      <c r="T299" s="24" t="str">
        <f aca="false">IF(OR(J299="",O299="",J299=0),"",O299/J299)</f>
        <v/>
      </c>
      <c r="U299" s="46" t="str">
        <f aca="false">IF(OR(J299="",G299="",G299=0),"",J299/G299)</f>
        <v/>
      </c>
      <c r="V299" s="46" t="str">
        <f aca="false">IF(OR(O299="",G299="",G299=0),"",O299/G299)</f>
        <v/>
      </c>
    </row>
    <row r="300" customFormat="false" ht="15" hidden="false" customHeight="false" outlineLevel="0" collapsed="false">
      <c r="A300" s="30"/>
      <c r="B300" s="30"/>
      <c r="C300" s="30"/>
      <c r="D300" s="30"/>
      <c r="E300" s="27"/>
      <c r="F300" s="47"/>
      <c r="G300" s="27"/>
      <c r="H300" s="30"/>
      <c r="I300" s="43"/>
      <c r="J300" s="41"/>
      <c r="K300" s="41"/>
      <c r="L300" s="30"/>
      <c r="M300" s="43"/>
      <c r="N300" s="43"/>
      <c r="O300" s="41"/>
      <c r="P300" s="43"/>
      <c r="Q300" s="30"/>
      <c r="R300" s="24" t="str">
        <f aca="false">IF(OR(J300="",K300="",J300=0),"",1-K300/J300)</f>
        <v/>
      </c>
      <c r="S300" s="45" t="str">
        <f aca="false">IF(OR(I300="",M300=""),"",M300-I300)</f>
        <v/>
      </c>
      <c r="T300" s="24" t="str">
        <f aca="false">IF(OR(J300="",O300="",J300=0),"",O300/J300)</f>
        <v/>
      </c>
      <c r="U300" s="46" t="str">
        <f aca="false">IF(OR(J300="",G300="",G300=0),"",J300/G300)</f>
        <v/>
      </c>
      <c r="V300" s="46" t="str">
        <f aca="false">IF(OR(O300="",G300="",G300=0),"",O300/G300)</f>
        <v/>
      </c>
    </row>
    <row r="301" customFormat="false" ht="15" hidden="false" customHeight="false" outlineLevel="0" collapsed="false">
      <c r="A301" s="30"/>
      <c r="B301" s="30"/>
      <c r="C301" s="30"/>
      <c r="D301" s="30"/>
      <c r="E301" s="27"/>
      <c r="F301" s="47"/>
      <c r="G301" s="27"/>
      <c r="H301" s="30"/>
      <c r="I301" s="43"/>
      <c r="J301" s="41"/>
      <c r="K301" s="41"/>
      <c r="L301" s="30"/>
      <c r="M301" s="43"/>
      <c r="N301" s="43"/>
      <c r="O301" s="41"/>
      <c r="P301" s="43"/>
      <c r="Q301" s="30"/>
      <c r="R301" s="24" t="str">
        <f aca="false">IF(OR(J301="",K301="",J301=0),"",1-K301/J301)</f>
        <v/>
      </c>
      <c r="S301" s="45" t="str">
        <f aca="false">IF(OR(I301="",M301=""),"",M301-I301)</f>
        <v/>
      </c>
      <c r="T301" s="24" t="str">
        <f aca="false">IF(OR(J301="",O301="",J301=0),"",O301/J301)</f>
        <v/>
      </c>
      <c r="U301" s="46" t="str">
        <f aca="false">IF(OR(J301="",G301="",G301=0),"",J301/G301)</f>
        <v/>
      </c>
      <c r="V301" s="46" t="str">
        <f aca="false">IF(OR(O301="",G301="",G301=0),"",O301/G301)</f>
        <v/>
      </c>
    </row>
    <row r="302" customFormat="false" ht="15" hidden="false" customHeight="false" outlineLevel="0" collapsed="false">
      <c r="A302" s="30"/>
      <c r="B302" s="30"/>
      <c r="C302" s="30"/>
      <c r="D302" s="30"/>
      <c r="E302" s="27"/>
      <c r="F302" s="47"/>
      <c r="G302" s="27"/>
      <c r="H302" s="30"/>
      <c r="I302" s="43"/>
      <c r="J302" s="41"/>
      <c r="K302" s="41"/>
      <c r="L302" s="30"/>
      <c r="M302" s="43"/>
      <c r="N302" s="43"/>
      <c r="O302" s="41"/>
      <c r="P302" s="43"/>
      <c r="Q302" s="30"/>
      <c r="R302" s="24" t="str">
        <f aca="false">IF(OR(J302="",K302="",J302=0),"",1-K302/J302)</f>
        <v/>
      </c>
      <c r="S302" s="45" t="str">
        <f aca="false">IF(OR(I302="",M302=""),"",M302-I302)</f>
        <v/>
      </c>
      <c r="T302" s="24" t="str">
        <f aca="false">IF(OR(J302="",O302="",J302=0),"",O302/J302)</f>
        <v/>
      </c>
      <c r="U302" s="46" t="str">
        <f aca="false">IF(OR(J302="",G302="",G302=0),"",J302/G302)</f>
        <v/>
      </c>
      <c r="V302" s="46" t="str">
        <f aca="false">IF(OR(O302="",G302="",G302=0),"",O302/G302)</f>
        <v/>
      </c>
    </row>
    <row r="303" customFormat="false" ht="15" hidden="false" customHeight="false" outlineLevel="0" collapsed="false">
      <c r="A303" s="30"/>
      <c r="B303" s="30"/>
      <c r="C303" s="30"/>
      <c r="D303" s="30"/>
      <c r="E303" s="27"/>
      <c r="F303" s="47"/>
      <c r="G303" s="27"/>
      <c r="H303" s="30"/>
      <c r="I303" s="43"/>
      <c r="J303" s="41"/>
      <c r="K303" s="41"/>
      <c r="L303" s="30"/>
      <c r="M303" s="43"/>
      <c r="N303" s="43"/>
      <c r="O303" s="41"/>
      <c r="P303" s="43"/>
      <c r="Q303" s="30"/>
      <c r="R303" s="24" t="str">
        <f aca="false">IF(OR(J303="",K303="",J303=0),"",1-K303/J303)</f>
        <v/>
      </c>
      <c r="S303" s="45" t="str">
        <f aca="false">IF(OR(I303="",M303=""),"",M303-I303)</f>
        <v/>
      </c>
      <c r="T303" s="24" t="str">
        <f aca="false">IF(OR(J303="",O303="",J303=0),"",O303/J303)</f>
        <v/>
      </c>
      <c r="U303" s="46" t="str">
        <f aca="false">IF(OR(J303="",G303="",G303=0),"",J303/G303)</f>
        <v/>
      </c>
      <c r="V303" s="46" t="str">
        <f aca="false">IF(OR(O303="",G303="",G303=0),"",O303/G303)</f>
        <v/>
      </c>
    </row>
    <row r="304" customFormat="false" ht="15" hidden="false" customHeight="false" outlineLevel="0" collapsed="false">
      <c r="A304" s="30"/>
      <c r="B304" s="30"/>
      <c r="C304" s="30"/>
      <c r="D304" s="30"/>
      <c r="E304" s="27"/>
      <c r="F304" s="47"/>
      <c r="G304" s="27"/>
      <c r="H304" s="30"/>
      <c r="I304" s="43"/>
      <c r="J304" s="41"/>
      <c r="K304" s="41"/>
      <c r="L304" s="30"/>
      <c r="M304" s="43"/>
      <c r="N304" s="43"/>
      <c r="O304" s="41"/>
      <c r="P304" s="43"/>
      <c r="Q304" s="30"/>
      <c r="R304" s="24" t="str">
        <f aca="false">IF(OR(J304="",K304="",J304=0),"",1-K304/J304)</f>
        <v/>
      </c>
      <c r="S304" s="45" t="str">
        <f aca="false">IF(OR(I304="",M304=""),"",M304-I304)</f>
        <v/>
      </c>
      <c r="T304" s="24" t="str">
        <f aca="false">IF(OR(J304="",O304="",J304=0),"",O304/J304)</f>
        <v/>
      </c>
      <c r="U304" s="46" t="str">
        <f aca="false">IF(OR(J304="",G304="",G304=0),"",J304/G304)</f>
        <v/>
      </c>
      <c r="V304" s="46" t="str">
        <f aca="false">IF(OR(O304="",G304="",G304=0),"",O304/G304)</f>
        <v/>
      </c>
    </row>
    <row r="305" customFormat="false" ht="15" hidden="false" customHeight="false" outlineLevel="0" collapsed="false">
      <c r="A305" s="30"/>
      <c r="B305" s="30"/>
      <c r="C305" s="30"/>
      <c r="D305" s="30"/>
      <c r="E305" s="27"/>
      <c r="F305" s="47"/>
      <c r="G305" s="27"/>
      <c r="H305" s="30"/>
      <c r="I305" s="43"/>
      <c r="J305" s="41"/>
      <c r="K305" s="41"/>
      <c r="L305" s="30"/>
      <c r="M305" s="43"/>
      <c r="N305" s="43"/>
      <c r="O305" s="41"/>
      <c r="P305" s="43"/>
      <c r="Q305" s="30"/>
      <c r="R305" s="24" t="str">
        <f aca="false">IF(OR(J305="",K305="",J305=0),"",1-K305/J305)</f>
        <v/>
      </c>
      <c r="S305" s="45" t="str">
        <f aca="false">IF(OR(I305="",M305=""),"",M305-I305)</f>
        <v/>
      </c>
      <c r="T305" s="24" t="str">
        <f aca="false">IF(OR(J305="",O305="",J305=0),"",O305/J305)</f>
        <v/>
      </c>
      <c r="U305" s="46" t="str">
        <f aca="false">IF(OR(J305="",G305="",G305=0),"",J305/G305)</f>
        <v/>
      </c>
      <c r="V305" s="46" t="str">
        <f aca="false">IF(OR(O305="",G305="",G305=0),"",O305/G305)</f>
        <v/>
      </c>
    </row>
    <row r="306" customFormat="false" ht="15" hidden="false" customHeight="false" outlineLevel="0" collapsed="false">
      <c r="A306" s="30"/>
      <c r="B306" s="30"/>
      <c r="C306" s="30"/>
      <c r="D306" s="30"/>
      <c r="E306" s="27"/>
      <c r="F306" s="47"/>
      <c r="G306" s="27"/>
      <c r="H306" s="30"/>
      <c r="I306" s="43"/>
      <c r="J306" s="41"/>
      <c r="K306" s="41"/>
      <c r="L306" s="30"/>
      <c r="M306" s="43"/>
      <c r="N306" s="43"/>
      <c r="O306" s="41"/>
      <c r="P306" s="43"/>
      <c r="Q306" s="30"/>
      <c r="R306" s="24" t="str">
        <f aca="false">IF(OR(J306="",K306="",J306=0),"",1-K306/J306)</f>
        <v/>
      </c>
      <c r="S306" s="45" t="str">
        <f aca="false">IF(OR(I306="",M306=""),"",M306-I306)</f>
        <v/>
      </c>
      <c r="T306" s="24" t="str">
        <f aca="false">IF(OR(J306="",O306="",J306=0),"",O306/J306)</f>
        <v/>
      </c>
      <c r="U306" s="46" t="str">
        <f aca="false">IF(OR(J306="",G306="",G306=0),"",J306/G306)</f>
        <v/>
      </c>
      <c r="V306" s="46" t="str">
        <f aca="false">IF(OR(O306="",G306="",G306=0),"",O306/G306)</f>
        <v/>
      </c>
    </row>
    <row r="307" customFormat="false" ht="15" hidden="false" customHeight="false" outlineLevel="0" collapsed="false">
      <c r="A307" s="30"/>
      <c r="B307" s="30"/>
      <c r="C307" s="30"/>
      <c r="D307" s="30"/>
      <c r="E307" s="27"/>
      <c r="F307" s="47"/>
      <c r="G307" s="27"/>
      <c r="H307" s="30"/>
      <c r="I307" s="43"/>
      <c r="J307" s="41"/>
      <c r="K307" s="41"/>
      <c r="L307" s="30"/>
      <c r="M307" s="43"/>
      <c r="N307" s="43"/>
      <c r="O307" s="41"/>
      <c r="P307" s="43"/>
      <c r="Q307" s="30"/>
      <c r="R307" s="24" t="str">
        <f aca="false">IF(OR(J307="",K307="",J307=0),"",1-K307/J307)</f>
        <v/>
      </c>
      <c r="S307" s="45" t="str">
        <f aca="false">IF(OR(I307="",M307=""),"",M307-I307)</f>
        <v/>
      </c>
      <c r="T307" s="24" t="str">
        <f aca="false">IF(OR(J307="",O307="",J307=0),"",O307/J307)</f>
        <v/>
      </c>
      <c r="U307" s="46" t="str">
        <f aca="false">IF(OR(J307="",G307="",G307=0),"",J307/G307)</f>
        <v/>
      </c>
      <c r="V307" s="46" t="str">
        <f aca="false">IF(OR(O307="",G307="",G307=0),"",O307/G307)</f>
        <v/>
      </c>
    </row>
  </sheetData>
  <mergeCells count="3">
    <mergeCell ref="A6:H6"/>
    <mergeCell ref="I6:Q6"/>
    <mergeCell ref="R6:V6"/>
  </mergeCells>
  <dataValidations count="2">
    <dataValidation allowBlank="true" errorStyle="stop" operator="between" showDropDown="false" showErrorMessage="false" showInputMessage="false" sqref="H8:H307" type="list">
      <formula1>"Fixer,Dated,Renovated,New"</formula1>
      <formula2>0</formula2>
    </dataValidation>
    <dataValidation allowBlank="true" errorStyle="stop" operator="between" showDropDown="false" showErrorMessage="false" showInputMessage="false" sqref="L8:L307" type="list">
      <formula1>"Active,Pending,Sold,Off market"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R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1" min="10" style="0" width="12"/>
    <col collapsed="false" customWidth="true" hidden="false" outlineLevel="0" max="12" min="12" style="0" width="2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8"/>
  </cols>
  <sheetData>
    <row r="1" customFormat="false" ht="21.75" hidden="false" customHeight="true" outlineLevel="0" collapsed="false">
      <c r="A1" s="15" t="s">
        <v>198</v>
      </c>
    </row>
    <row r="2" customFormat="false" ht="15" hidden="false" customHeight="false" outlineLevel="0" collapsed="false">
      <c r="A2" s="2" t="s">
        <v>199</v>
      </c>
    </row>
    <row r="6" customFormat="false" ht="15" hidden="false" customHeight="false" outlineLevel="0" collapsed="false">
      <c r="A6" s="17" t="s">
        <v>200</v>
      </c>
      <c r="B6" s="17"/>
      <c r="C6" s="17"/>
      <c r="D6" s="17"/>
      <c r="E6" s="17"/>
      <c r="F6" s="17"/>
      <c r="G6" s="17"/>
      <c r="H6" s="17"/>
      <c r="I6" s="17"/>
      <c r="J6" s="17" t="s">
        <v>201</v>
      </c>
      <c r="K6" s="17"/>
      <c r="L6" s="17"/>
      <c r="M6" s="17" t="s">
        <v>145</v>
      </c>
      <c r="N6" s="17"/>
      <c r="O6" s="17"/>
      <c r="P6" s="17"/>
      <c r="Q6" s="17"/>
      <c r="R6" s="17"/>
    </row>
    <row r="7" customFormat="false" ht="42" hidden="false" customHeight="true" outlineLevel="0" collapsed="false">
      <c r="A7" s="19" t="s">
        <v>128</v>
      </c>
      <c r="B7" s="19" t="s">
        <v>147</v>
      </c>
      <c r="C7" s="19" t="s">
        <v>175</v>
      </c>
      <c r="D7" s="19" t="s">
        <v>176</v>
      </c>
      <c r="E7" s="19" t="s">
        <v>179</v>
      </c>
      <c r="F7" s="19" t="s">
        <v>202</v>
      </c>
      <c r="G7" s="19" t="s">
        <v>186</v>
      </c>
      <c r="H7" s="19" t="s">
        <v>203</v>
      </c>
      <c r="I7" s="19" t="s">
        <v>204</v>
      </c>
      <c r="J7" s="19" t="s">
        <v>205</v>
      </c>
      <c r="K7" s="19" t="s">
        <v>206</v>
      </c>
      <c r="L7" s="19" t="s">
        <v>189</v>
      </c>
      <c r="M7" s="19" t="s">
        <v>194</v>
      </c>
      <c r="N7" s="19" t="s">
        <v>207</v>
      </c>
      <c r="O7" s="19" t="s">
        <v>208</v>
      </c>
      <c r="P7" s="19" t="s">
        <v>209</v>
      </c>
      <c r="Q7" s="19" t="s">
        <v>210</v>
      </c>
      <c r="R7" s="19" t="s">
        <v>211</v>
      </c>
    </row>
    <row r="8" customFormat="false" ht="15" hidden="false" customHeight="false" outlineLevel="0" collapsed="false">
      <c r="A8" s="20" t="s">
        <v>126</v>
      </c>
      <c r="B8" s="20" t="s">
        <v>168</v>
      </c>
      <c r="C8" s="20" t="s">
        <v>212</v>
      </c>
      <c r="D8" s="30"/>
      <c r="E8" s="36" t="n">
        <v>1250</v>
      </c>
      <c r="F8" s="37" t="n">
        <v>1952</v>
      </c>
      <c r="G8" s="38" t="n">
        <v>46264</v>
      </c>
      <c r="H8" s="35" t="n">
        <v>209000</v>
      </c>
      <c r="I8" s="35" t="n">
        <v>142</v>
      </c>
      <c r="J8" s="38" t="n">
        <v>45996</v>
      </c>
      <c r="K8" s="35" t="n">
        <v>112000</v>
      </c>
      <c r="L8" s="20" t="s">
        <v>170</v>
      </c>
      <c r="M8" s="46" t="n">
        <f aca="false">IF(OR(H8="",E8="",E8=0),"",H8/E8)</f>
        <v>167.2</v>
      </c>
      <c r="N8" s="24" t="n">
        <f aca="false">IF(OR(M8="",I8="",I8=0),"",M8/I8-1)</f>
        <v>0.177464788732394</v>
      </c>
      <c r="O8" s="48" t="str">
        <f aca="false">IF(OR(J8="",K8="",G8="",K8=0),"",IF(AND(G8-J8&lt;=550,H8/K8-1&gt;=0.25),"Likely flip","Not a flip"))</f>
        <v>Likely flip</v>
      </c>
      <c r="P8" s="39" t="n">
        <f aca="false">IF(OR(J8="",G8=""),"",(G8-J8)/30.44)</f>
        <v>8.8042049934297</v>
      </c>
      <c r="Q8" s="46" t="n">
        <f aca="false">IF(O8&lt;&gt;"Likely flip","",H8-K8-E8*'Past Flips'!$E$3-H8*'Past Flips'!$E$4)</f>
        <v>38600</v>
      </c>
      <c r="R8" s="24" t="n">
        <f aca="false">IF(OR(Q8="",H8=0),"",Q8/H8)</f>
        <v>0.184688995215311</v>
      </c>
    </row>
    <row r="9" customFormat="false" ht="15" hidden="false" customHeight="false" outlineLevel="0" collapsed="false">
      <c r="A9" s="30"/>
      <c r="B9" s="30"/>
      <c r="C9" s="30"/>
      <c r="D9" s="30"/>
      <c r="E9" s="27"/>
      <c r="F9" s="42"/>
      <c r="G9" s="43"/>
      <c r="H9" s="41"/>
      <c r="I9" s="41"/>
      <c r="J9" s="43"/>
      <c r="K9" s="41"/>
      <c r="L9" s="30"/>
      <c r="M9" s="46" t="str">
        <f aca="false">IF(OR(H9="",E9="",E9=0),"",H9/E9)</f>
        <v/>
      </c>
      <c r="N9" s="24" t="str">
        <f aca="false">IF(OR(M9="",I9="",I9=0),"",M9/I9-1)</f>
        <v/>
      </c>
      <c r="O9" s="48" t="str">
        <f aca="false">IF(OR(J9="",K9="",G9="",K9=0),"",IF(AND(G9-J9&lt;=550,H9/K9-1&gt;=0.25),"Likely flip","Not a flip"))</f>
        <v/>
      </c>
      <c r="P9" s="39" t="str">
        <f aca="false">IF(OR(J9="",G9=""),"",(G9-J9)/30.44)</f>
        <v/>
      </c>
      <c r="Q9" s="46" t="str">
        <f aca="false">IF(O9&lt;&gt;"Likely flip","",H9-K9-E9*'Past Flips'!$E$3-H9*'Past Flips'!$E$4)</f>
        <v/>
      </c>
      <c r="R9" s="24" t="str">
        <f aca="false">IF(OR(Q9="",H9=0),"",Q9/H9)</f>
        <v/>
      </c>
    </row>
    <row r="10" customFormat="false" ht="15" hidden="false" customHeight="false" outlineLevel="0" collapsed="false">
      <c r="A10" s="30"/>
      <c r="B10" s="30"/>
      <c r="C10" s="30"/>
      <c r="D10" s="30"/>
      <c r="E10" s="27"/>
      <c r="F10" s="42"/>
      <c r="G10" s="43"/>
      <c r="H10" s="41"/>
      <c r="I10" s="41"/>
      <c r="J10" s="43"/>
      <c r="K10" s="41"/>
      <c r="L10" s="30"/>
      <c r="M10" s="46" t="str">
        <f aca="false">IF(OR(H10="",E10="",E10=0),"",H10/E10)</f>
        <v/>
      </c>
      <c r="N10" s="24" t="str">
        <f aca="false">IF(OR(M10="",I10="",I10=0),"",M10/I10-1)</f>
        <v/>
      </c>
      <c r="O10" s="48" t="str">
        <f aca="false">IF(OR(J10="",K10="",G10="",K10=0),"",IF(AND(G10-J10&lt;=550,H10/K10-1&gt;=0.25),"Likely flip","Not a flip"))</f>
        <v/>
      </c>
      <c r="P10" s="39" t="str">
        <f aca="false">IF(OR(J10="",G10=""),"",(G10-J10)/30.44)</f>
        <v/>
      </c>
      <c r="Q10" s="46" t="str">
        <f aca="false">IF(O10&lt;&gt;"Likely flip","",H10-K10-E10*'Past Flips'!$E$3-H10*'Past Flips'!$E$4)</f>
        <v/>
      </c>
      <c r="R10" s="24" t="str">
        <f aca="false">IF(OR(Q10="",H10=0),"",Q10/H10)</f>
        <v/>
      </c>
    </row>
    <row r="11" customFormat="false" ht="15" hidden="false" customHeight="false" outlineLevel="0" collapsed="false">
      <c r="A11" s="30"/>
      <c r="B11" s="30"/>
      <c r="C11" s="30"/>
      <c r="D11" s="30"/>
      <c r="E11" s="27"/>
      <c r="F11" s="42"/>
      <c r="G11" s="43"/>
      <c r="H11" s="41"/>
      <c r="I11" s="41"/>
      <c r="J11" s="43"/>
      <c r="K11" s="41"/>
      <c r="L11" s="30"/>
      <c r="M11" s="46" t="str">
        <f aca="false">IF(OR(H11="",E11="",E11=0),"",H11/E11)</f>
        <v/>
      </c>
      <c r="N11" s="24" t="str">
        <f aca="false">IF(OR(M11="",I11="",I11=0),"",M11/I11-1)</f>
        <v/>
      </c>
      <c r="O11" s="48" t="str">
        <f aca="false">IF(OR(J11="",K11="",G11="",K11=0),"",IF(AND(G11-J11&lt;=550,H11/K11-1&gt;=0.25),"Likely flip","Not a flip"))</f>
        <v/>
      </c>
      <c r="P11" s="39" t="str">
        <f aca="false">IF(OR(J11="",G11=""),"",(G11-J11)/30.44)</f>
        <v/>
      </c>
      <c r="Q11" s="46" t="str">
        <f aca="false">IF(O11&lt;&gt;"Likely flip","",H11-K11-E11*'Past Flips'!$E$3-H11*'Past Flips'!$E$4)</f>
        <v/>
      </c>
      <c r="R11" s="24" t="str">
        <f aca="false">IF(OR(Q11="",H11=0),"",Q11/H11)</f>
        <v/>
      </c>
    </row>
    <row r="12" customFormat="false" ht="15" hidden="false" customHeight="false" outlineLevel="0" collapsed="false">
      <c r="A12" s="30"/>
      <c r="B12" s="30"/>
      <c r="C12" s="30"/>
      <c r="D12" s="30"/>
      <c r="E12" s="27"/>
      <c r="F12" s="42"/>
      <c r="G12" s="43"/>
      <c r="H12" s="41"/>
      <c r="I12" s="41"/>
      <c r="J12" s="43"/>
      <c r="K12" s="41"/>
      <c r="L12" s="30"/>
      <c r="M12" s="46" t="str">
        <f aca="false">IF(OR(H12="",E12="",E12=0),"",H12/E12)</f>
        <v/>
      </c>
      <c r="N12" s="24" t="str">
        <f aca="false">IF(OR(M12="",I12="",I12=0),"",M12/I12-1)</f>
        <v/>
      </c>
      <c r="O12" s="48" t="str">
        <f aca="false">IF(OR(J12="",K12="",G12="",K12=0),"",IF(AND(G12-J12&lt;=550,H12/K12-1&gt;=0.25),"Likely flip","Not a flip"))</f>
        <v/>
      </c>
      <c r="P12" s="39" t="str">
        <f aca="false">IF(OR(J12="",G12=""),"",(G12-J12)/30.44)</f>
        <v/>
      </c>
      <c r="Q12" s="46" t="str">
        <f aca="false">IF(O12&lt;&gt;"Likely flip","",H12-K12-E12*'Past Flips'!$E$3-H12*'Past Flips'!$E$4)</f>
        <v/>
      </c>
      <c r="R12" s="24" t="str">
        <f aca="false">IF(OR(Q12="",H12=0),"",Q12/H12)</f>
        <v/>
      </c>
    </row>
    <row r="13" customFormat="false" ht="15" hidden="false" customHeight="false" outlineLevel="0" collapsed="false">
      <c r="A13" s="30"/>
      <c r="B13" s="30"/>
      <c r="C13" s="30"/>
      <c r="D13" s="30"/>
      <c r="E13" s="27"/>
      <c r="F13" s="42"/>
      <c r="G13" s="43"/>
      <c r="H13" s="41"/>
      <c r="I13" s="41"/>
      <c r="J13" s="43"/>
      <c r="K13" s="41"/>
      <c r="L13" s="30"/>
      <c r="M13" s="46" t="str">
        <f aca="false">IF(OR(H13="",E13="",E13=0),"",H13/E13)</f>
        <v/>
      </c>
      <c r="N13" s="24" t="str">
        <f aca="false">IF(OR(M13="",I13="",I13=0),"",M13/I13-1)</f>
        <v/>
      </c>
      <c r="O13" s="48" t="str">
        <f aca="false">IF(OR(J13="",K13="",G13="",K13=0),"",IF(AND(G13-J13&lt;=550,H13/K13-1&gt;=0.25),"Likely flip","Not a flip"))</f>
        <v/>
      </c>
      <c r="P13" s="39" t="str">
        <f aca="false">IF(OR(J13="",G13=""),"",(G13-J13)/30.44)</f>
        <v/>
      </c>
      <c r="Q13" s="46" t="str">
        <f aca="false">IF(O13&lt;&gt;"Likely flip","",H13-K13-E13*'Past Flips'!$E$3-H13*'Past Flips'!$E$4)</f>
        <v/>
      </c>
      <c r="R13" s="24" t="str">
        <f aca="false">IF(OR(Q13="",H13=0),"",Q13/H13)</f>
        <v/>
      </c>
    </row>
    <row r="14" customFormat="false" ht="15" hidden="false" customHeight="false" outlineLevel="0" collapsed="false">
      <c r="A14" s="30"/>
      <c r="B14" s="30"/>
      <c r="C14" s="30"/>
      <c r="D14" s="30"/>
      <c r="E14" s="27"/>
      <c r="F14" s="42"/>
      <c r="G14" s="43"/>
      <c r="H14" s="41"/>
      <c r="I14" s="41"/>
      <c r="J14" s="43"/>
      <c r="K14" s="41"/>
      <c r="L14" s="30"/>
      <c r="M14" s="46" t="str">
        <f aca="false">IF(OR(H14="",E14="",E14=0),"",H14/E14)</f>
        <v/>
      </c>
      <c r="N14" s="24" t="str">
        <f aca="false">IF(OR(M14="",I14="",I14=0),"",M14/I14-1)</f>
        <v/>
      </c>
      <c r="O14" s="48" t="str">
        <f aca="false">IF(OR(J14="",K14="",G14="",K14=0),"",IF(AND(G14-J14&lt;=550,H14/K14-1&gt;=0.25),"Likely flip","Not a flip"))</f>
        <v/>
      </c>
      <c r="P14" s="39" t="str">
        <f aca="false">IF(OR(J14="",G14=""),"",(G14-J14)/30.44)</f>
        <v/>
      </c>
      <c r="Q14" s="46" t="str">
        <f aca="false">IF(O14&lt;&gt;"Likely flip","",H14-K14-E14*'Past Flips'!$E$3-H14*'Past Flips'!$E$4)</f>
        <v/>
      </c>
      <c r="R14" s="24" t="str">
        <f aca="false">IF(OR(Q14="",H14=0),"",Q14/H14)</f>
        <v/>
      </c>
    </row>
    <row r="15" customFormat="false" ht="15" hidden="false" customHeight="false" outlineLevel="0" collapsed="false">
      <c r="A15" s="30"/>
      <c r="B15" s="30"/>
      <c r="C15" s="30"/>
      <c r="D15" s="30"/>
      <c r="E15" s="27"/>
      <c r="F15" s="42"/>
      <c r="G15" s="43"/>
      <c r="H15" s="41"/>
      <c r="I15" s="41"/>
      <c r="J15" s="43"/>
      <c r="K15" s="41"/>
      <c r="L15" s="30"/>
      <c r="M15" s="46" t="str">
        <f aca="false">IF(OR(H15="",E15="",E15=0),"",H15/E15)</f>
        <v/>
      </c>
      <c r="N15" s="24" t="str">
        <f aca="false">IF(OR(M15="",I15="",I15=0),"",M15/I15-1)</f>
        <v/>
      </c>
      <c r="O15" s="48" t="str">
        <f aca="false">IF(OR(J15="",K15="",G15="",K15=0),"",IF(AND(G15-J15&lt;=550,H15/K15-1&gt;=0.25),"Likely flip","Not a flip"))</f>
        <v/>
      </c>
      <c r="P15" s="39" t="str">
        <f aca="false">IF(OR(J15="",G15=""),"",(G15-J15)/30.44)</f>
        <v/>
      </c>
      <c r="Q15" s="46" t="str">
        <f aca="false">IF(O15&lt;&gt;"Likely flip","",H15-K15-E15*'Past Flips'!$E$3-H15*'Past Flips'!$E$4)</f>
        <v/>
      </c>
      <c r="R15" s="24" t="str">
        <f aca="false">IF(OR(Q15="",H15=0),"",Q15/H15)</f>
        <v/>
      </c>
    </row>
    <row r="16" customFormat="false" ht="15" hidden="false" customHeight="false" outlineLevel="0" collapsed="false">
      <c r="A16" s="30"/>
      <c r="B16" s="30"/>
      <c r="C16" s="30"/>
      <c r="D16" s="30"/>
      <c r="E16" s="27"/>
      <c r="F16" s="42"/>
      <c r="G16" s="43"/>
      <c r="H16" s="41"/>
      <c r="I16" s="41"/>
      <c r="J16" s="43"/>
      <c r="K16" s="41"/>
      <c r="L16" s="30"/>
      <c r="M16" s="46" t="str">
        <f aca="false">IF(OR(H16="",E16="",E16=0),"",H16/E16)</f>
        <v/>
      </c>
      <c r="N16" s="24" t="str">
        <f aca="false">IF(OR(M16="",I16="",I16=0),"",M16/I16-1)</f>
        <v/>
      </c>
      <c r="O16" s="48" t="str">
        <f aca="false">IF(OR(J16="",K16="",G16="",K16=0),"",IF(AND(G16-J16&lt;=550,H16/K16-1&gt;=0.25),"Likely flip","Not a flip"))</f>
        <v/>
      </c>
      <c r="P16" s="39" t="str">
        <f aca="false">IF(OR(J16="",G16=""),"",(G16-J16)/30.44)</f>
        <v/>
      </c>
      <c r="Q16" s="46" t="str">
        <f aca="false">IF(O16&lt;&gt;"Likely flip","",H16-K16-E16*'Past Flips'!$E$3-H16*'Past Flips'!$E$4)</f>
        <v/>
      </c>
      <c r="R16" s="24" t="str">
        <f aca="false">IF(OR(Q16="",H16=0),"",Q16/H16)</f>
        <v/>
      </c>
    </row>
    <row r="17" customFormat="false" ht="15" hidden="false" customHeight="false" outlineLevel="0" collapsed="false">
      <c r="A17" s="30"/>
      <c r="B17" s="30"/>
      <c r="C17" s="30"/>
      <c r="D17" s="30"/>
      <c r="E17" s="27"/>
      <c r="F17" s="42"/>
      <c r="G17" s="43"/>
      <c r="H17" s="41"/>
      <c r="I17" s="41"/>
      <c r="J17" s="43"/>
      <c r="K17" s="41"/>
      <c r="L17" s="30"/>
      <c r="M17" s="46" t="str">
        <f aca="false">IF(OR(H17="",E17="",E17=0),"",H17/E17)</f>
        <v/>
      </c>
      <c r="N17" s="24" t="str">
        <f aca="false">IF(OR(M17="",I17="",I17=0),"",M17/I17-1)</f>
        <v/>
      </c>
      <c r="O17" s="48" t="str">
        <f aca="false">IF(OR(J17="",K17="",G17="",K17=0),"",IF(AND(G17-J17&lt;=550,H17/K17-1&gt;=0.25),"Likely flip","Not a flip"))</f>
        <v/>
      </c>
      <c r="P17" s="39" t="str">
        <f aca="false">IF(OR(J17="",G17=""),"",(G17-J17)/30.44)</f>
        <v/>
      </c>
      <c r="Q17" s="46" t="str">
        <f aca="false">IF(O17&lt;&gt;"Likely flip","",H17-K17-E17*'Past Flips'!$E$3-H17*'Past Flips'!$E$4)</f>
        <v/>
      </c>
      <c r="R17" s="24" t="str">
        <f aca="false">IF(OR(Q17="",H17=0),"",Q17/H17)</f>
        <v/>
      </c>
    </row>
    <row r="18" customFormat="false" ht="15" hidden="false" customHeight="false" outlineLevel="0" collapsed="false">
      <c r="A18" s="30"/>
      <c r="B18" s="30"/>
      <c r="C18" s="30"/>
      <c r="D18" s="30"/>
      <c r="E18" s="27"/>
      <c r="F18" s="42"/>
      <c r="G18" s="43"/>
      <c r="H18" s="41"/>
      <c r="I18" s="41"/>
      <c r="J18" s="43"/>
      <c r="K18" s="41"/>
      <c r="L18" s="30"/>
      <c r="M18" s="46" t="str">
        <f aca="false">IF(OR(H18="",E18="",E18=0),"",H18/E18)</f>
        <v/>
      </c>
      <c r="N18" s="24" t="str">
        <f aca="false">IF(OR(M18="",I18="",I18=0),"",M18/I18-1)</f>
        <v/>
      </c>
      <c r="O18" s="48" t="str">
        <f aca="false">IF(OR(J18="",K18="",G18="",K18=0),"",IF(AND(G18-J18&lt;=550,H18/K18-1&gt;=0.25),"Likely flip","Not a flip"))</f>
        <v/>
      </c>
      <c r="P18" s="39" t="str">
        <f aca="false">IF(OR(J18="",G18=""),"",(G18-J18)/30.44)</f>
        <v/>
      </c>
      <c r="Q18" s="46" t="str">
        <f aca="false">IF(O18&lt;&gt;"Likely flip","",H18-K18-E18*'Past Flips'!$E$3-H18*'Past Flips'!$E$4)</f>
        <v/>
      </c>
      <c r="R18" s="24" t="str">
        <f aca="false">IF(OR(Q18="",H18=0),"",Q18/H18)</f>
        <v/>
      </c>
    </row>
    <row r="19" customFormat="false" ht="15" hidden="false" customHeight="false" outlineLevel="0" collapsed="false">
      <c r="A19" s="30"/>
      <c r="B19" s="30"/>
      <c r="C19" s="30"/>
      <c r="D19" s="30"/>
      <c r="E19" s="27"/>
      <c r="F19" s="42"/>
      <c r="G19" s="43"/>
      <c r="H19" s="41"/>
      <c r="I19" s="41"/>
      <c r="J19" s="43"/>
      <c r="K19" s="41"/>
      <c r="L19" s="30"/>
      <c r="M19" s="46" t="str">
        <f aca="false">IF(OR(H19="",E19="",E19=0),"",H19/E19)</f>
        <v/>
      </c>
      <c r="N19" s="24" t="str">
        <f aca="false">IF(OR(M19="",I19="",I19=0),"",M19/I19-1)</f>
        <v/>
      </c>
      <c r="O19" s="48" t="str">
        <f aca="false">IF(OR(J19="",K19="",G19="",K19=0),"",IF(AND(G19-J19&lt;=550,H19/K19-1&gt;=0.25),"Likely flip","Not a flip"))</f>
        <v/>
      </c>
      <c r="P19" s="39" t="str">
        <f aca="false">IF(OR(J19="",G19=""),"",(G19-J19)/30.44)</f>
        <v/>
      </c>
      <c r="Q19" s="46" t="str">
        <f aca="false">IF(O19&lt;&gt;"Likely flip","",H19-K19-E19*'Past Flips'!$E$3-H19*'Past Flips'!$E$4)</f>
        <v/>
      </c>
      <c r="R19" s="24" t="str">
        <f aca="false">IF(OR(Q19="",H19=0),"",Q19/H19)</f>
        <v/>
      </c>
    </row>
    <row r="20" customFormat="false" ht="15" hidden="false" customHeight="false" outlineLevel="0" collapsed="false">
      <c r="A20" s="30"/>
      <c r="B20" s="30"/>
      <c r="C20" s="30"/>
      <c r="D20" s="30"/>
      <c r="E20" s="27"/>
      <c r="F20" s="42"/>
      <c r="G20" s="43"/>
      <c r="H20" s="41"/>
      <c r="I20" s="41"/>
      <c r="J20" s="43"/>
      <c r="K20" s="41"/>
      <c r="L20" s="30"/>
      <c r="M20" s="46" t="str">
        <f aca="false">IF(OR(H20="",E20="",E20=0),"",H20/E20)</f>
        <v/>
      </c>
      <c r="N20" s="24" t="str">
        <f aca="false">IF(OR(M20="",I20="",I20=0),"",M20/I20-1)</f>
        <v/>
      </c>
      <c r="O20" s="48" t="str">
        <f aca="false">IF(OR(J20="",K20="",G20="",K20=0),"",IF(AND(G20-J20&lt;=550,H20/K20-1&gt;=0.25),"Likely flip","Not a flip"))</f>
        <v/>
      </c>
      <c r="P20" s="39" t="str">
        <f aca="false">IF(OR(J20="",G20=""),"",(G20-J20)/30.44)</f>
        <v/>
      </c>
      <c r="Q20" s="46" t="str">
        <f aca="false">IF(O20&lt;&gt;"Likely flip","",H20-K20-E20*'Past Flips'!$E$3-H20*'Past Flips'!$E$4)</f>
        <v/>
      </c>
      <c r="R20" s="24" t="str">
        <f aca="false">IF(OR(Q20="",H20=0),"",Q20/H20)</f>
        <v/>
      </c>
    </row>
    <row r="21" customFormat="false" ht="15" hidden="false" customHeight="false" outlineLevel="0" collapsed="false">
      <c r="A21" s="30"/>
      <c r="B21" s="30"/>
      <c r="C21" s="30"/>
      <c r="D21" s="30"/>
      <c r="E21" s="27"/>
      <c r="F21" s="42"/>
      <c r="G21" s="43"/>
      <c r="H21" s="41"/>
      <c r="I21" s="41"/>
      <c r="J21" s="43"/>
      <c r="K21" s="41"/>
      <c r="L21" s="30"/>
      <c r="M21" s="46" t="str">
        <f aca="false">IF(OR(H21="",E21="",E21=0),"",H21/E21)</f>
        <v/>
      </c>
      <c r="N21" s="24" t="str">
        <f aca="false">IF(OR(M21="",I21="",I21=0),"",M21/I21-1)</f>
        <v/>
      </c>
      <c r="O21" s="48" t="str">
        <f aca="false">IF(OR(J21="",K21="",G21="",K21=0),"",IF(AND(G21-J21&lt;=550,H21/K21-1&gt;=0.25),"Likely flip","Not a flip"))</f>
        <v/>
      </c>
      <c r="P21" s="39" t="str">
        <f aca="false">IF(OR(J21="",G21=""),"",(G21-J21)/30.44)</f>
        <v/>
      </c>
      <c r="Q21" s="46" t="str">
        <f aca="false">IF(O21&lt;&gt;"Likely flip","",H21-K21-E21*'Past Flips'!$E$3-H21*'Past Flips'!$E$4)</f>
        <v/>
      </c>
      <c r="R21" s="24" t="str">
        <f aca="false">IF(OR(Q21="",H21=0),"",Q21/H21)</f>
        <v/>
      </c>
    </row>
    <row r="22" customFormat="false" ht="15" hidden="false" customHeight="false" outlineLevel="0" collapsed="false">
      <c r="A22" s="30"/>
      <c r="B22" s="30"/>
      <c r="C22" s="30"/>
      <c r="D22" s="30"/>
      <c r="E22" s="27"/>
      <c r="F22" s="42"/>
      <c r="G22" s="43"/>
      <c r="H22" s="41"/>
      <c r="I22" s="41"/>
      <c r="J22" s="43"/>
      <c r="K22" s="41"/>
      <c r="L22" s="30"/>
      <c r="M22" s="46" t="str">
        <f aca="false">IF(OR(H22="",E22="",E22=0),"",H22/E22)</f>
        <v/>
      </c>
      <c r="N22" s="24" t="str">
        <f aca="false">IF(OR(M22="",I22="",I22=0),"",M22/I22-1)</f>
        <v/>
      </c>
      <c r="O22" s="48" t="str">
        <f aca="false">IF(OR(J22="",K22="",G22="",K22=0),"",IF(AND(G22-J22&lt;=550,H22/K22-1&gt;=0.25),"Likely flip","Not a flip"))</f>
        <v/>
      </c>
      <c r="P22" s="39" t="str">
        <f aca="false">IF(OR(J22="",G22=""),"",(G22-J22)/30.44)</f>
        <v/>
      </c>
      <c r="Q22" s="46" t="str">
        <f aca="false">IF(O22&lt;&gt;"Likely flip","",H22-K22-E22*'Past Flips'!$E$3-H22*'Past Flips'!$E$4)</f>
        <v/>
      </c>
      <c r="R22" s="24" t="str">
        <f aca="false">IF(OR(Q22="",H22=0),"",Q22/H22)</f>
        <v/>
      </c>
    </row>
    <row r="23" customFormat="false" ht="15" hidden="false" customHeight="false" outlineLevel="0" collapsed="false">
      <c r="A23" s="30"/>
      <c r="B23" s="30"/>
      <c r="C23" s="30"/>
      <c r="D23" s="30"/>
      <c r="E23" s="27"/>
      <c r="F23" s="42"/>
      <c r="G23" s="43"/>
      <c r="H23" s="41"/>
      <c r="I23" s="41"/>
      <c r="J23" s="43"/>
      <c r="K23" s="41"/>
      <c r="L23" s="30"/>
      <c r="M23" s="46" t="str">
        <f aca="false">IF(OR(H23="",E23="",E23=0),"",H23/E23)</f>
        <v/>
      </c>
      <c r="N23" s="24" t="str">
        <f aca="false">IF(OR(M23="",I23="",I23=0),"",M23/I23-1)</f>
        <v/>
      </c>
      <c r="O23" s="48" t="str">
        <f aca="false">IF(OR(J23="",K23="",G23="",K23=0),"",IF(AND(G23-J23&lt;=550,H23/K23-1&gt;=0.25),"Likely flip","Not a flip"))</f>
        <v/>
      </c>
      <c r="P23" s="39" t="str">
        <f aca="false">IF(OR(J23="",G23=""),"",(G23-J23)/30.44)</f>
        <v/>
      </c>
      <c r="Q23" s="46" t="str">
        <f aca="false">IF(O23&lt;&gt;"Likely flip","",H23-K23-E23*'Past Flips'!$E$3-H23*'Past Flips'!$E$4)</f>
        <v/>
      </c>
      <c r="R23" s="24" t="str">
        <f aca="false">IF(OR(Q23="",H23=0),"",Q23/H23)</f>
        <v/>
      </c>
    </row>
    <row r="24" customFormat="false" ht="15" hidden="false" customHeight="false" outlineLevel="0" collapsed="false">
      <c r="A24" s="30"/>
      <c r="B24" s="30"/>
      <c r="C24" s="30"/>
      <c r="D24" s="30"/>
      <c r="E24" s="27"/>
      <c r="F24" s="42"/>
      <c r="G24" s="43"/>
      <c r="H24" s="41"/>
      <c r="I24" s="41"/>
      <c r="J24" s="43"/>
      <c r="K24" s="41"/>
      <c r="L24" s="30"/>
      <c r="M24" s="46" t="str">
        <f aca="false">IF(OR(H24="",E24="",E24=0),"",H24/E24)</f>
        <v/>
      </c>
      <c r="N24" s="24" t="str">
        <f aca="false">IF(OR(M24="",I24="",I24=0),"",M24/I24-1)</f>
        <v/>
      </c>
      <c r="O24" s="48" t="str">
        <f aca="false">IF(OR(J24="",K24="",G24="",K24=0),"",IF(AND(G24-J24&lt;=550,H24/K24-1&gt;=0.25),"Likely flip","Not a flip"))</f>
        <v/>
      </c>
      <c r="P24" s="39" t="str">
        <f aca="false">IF(OR(J24="",G24=""),"",(G24-J24)/30.44)</f>
        <v/>
      </c>
      <c r="Q24" s="46" t="str">
        <f aca="false">IF(O24&lt;&gt;"Likely flip","",H24-K24-E24*'Past Flips'!$E$3-H24*'Past Flips'!$E$4)</f>
        <v/>
      </c>
      <c r="R24" s="24" t="str">
        <f aca="false">IF(OR(Q24="",H24=0),"",Q24/H24)</f>
        <v/>
      </c>
    </row>
    <row r="25" customFormat="false" ht="15" hidden="false" customHeight="false" outlineLevel="0" collapsed="false">
      <c r="A25" s="30"/>
      <c r="B25" s="30"/>
      <c r="C25" s="30"/>
      <c r="D25" s="30"/>
      <c r="E25" s="27"/>
      <c r="F25" s="42"/>
      <c r="G25" s="43"/>
      <c r="H25" s="41"/>
      <c r="I25" s="41"/>
      <c r="J25" s="43"/>
      <c r="K25" s="41"/>
      <c r="L25" s="30"/>
      <c r="M25" s="46" t="str">
        <f aca="false">IF(OR(H25="",E25="",E25=0),"",H25/E25)</f>
        <v/>
      </c>
      <c r="N25" s="24" t="str">
        <f aca="false">IF(OR(M25="",I25="",I25=0),"",M25/I25-1)</f>
        <v/>
      </c>
      <c r="O25" s="48" t="str">
        <f aca="false">IF(OR(J25="",K25="",G25="",K25=0),"",IF(AND(G25-J25&lt;=550,H25/K25-1&gt;=0.25),"Likely flip","Not a flip"))</f>
        <v/>
      </c>
      <c r="P25" s="39" t="str">
        <f aca="false">IF(OR(J25="",G25=""),"",(G25-J25)/30.44)</f>
        <v/>
      </c>
      <c r="Q25" s="46" t="str">
        <f aca="false">IF(O25&lt;&gt;"Likely flip","",H25-K25-E25*'Past Flips'!$E$3-H25*'Past Flips'!$E$4)</f>
        <v/>
      </c>
      <c r="R25" s="24" t="str">
        <f aca="false">IF(OR(Q25="",H25=0),"",Q25/H25)</f>
        <v/>
      </c>
    </row>
    <row r="26" customFormat="false" ht="15" hidden="false" customHeight="false" outlineLevel="0" collapsed="false">
      <c r="A26" s="30"/>
      <c r="B26" s="30"/>
      <c r="C26" s="30"/>
      <c r="D26" s="30"/>
      <c r="E26" s="27"/>
      <c r="F26" s="42"/>
      <c r="G26" s="43"/>
      <c r="H26" s="41"/>
      <c r="I26" s="41"/>
      <c r="J26" s="43"/>
      <c r="K26" s="41"/>
      <c r="L26" s="30"/>
      <c r="M26" s="46" t="str">
        <f aca="false">IF(OR(H26="",E26="",E26=0),"",H26/E26)</f>
        <v/>
      </c>
      <c r="N26" s="24" t="str">
        <f aca="false">IF(OR(M26="",I26="",I26=0),"",M26/I26-1)</f>
        <v/>
      </c>
      <c r="O26" s="48" t="str">
        <f aca="false">IF(OR(J26="",K26="",G26="",K26=0),"",IF(AND(G26-J26&lt;=550,H26/K26-1&gt;=0.25),"Likely flip","Not a flip"))</f>
        <v/>
      </c>
      <c r="P26" s="39" t="str">
        <f aca="false">IF(OR(J26="",G26=""),"",(G26-J26)/30.44)</f>
        <v/>
      </c>
      <c r="Q26" s="46" t="str">
        <f aca="false">IF(O26&lt;&gt;"Likely flip","",H26-K26-E26*'Past Flips'!$E$3-H26*'Past Flips'!$E$4)</f>
        <v/>
      </c>
      <c r="R26" s="24" t="str">
        <f aca="false">IF(OR(Q26="",H26=0),"",Q26/H26)</f>
        <v/>
      </c>
    </row>
    <row r="27" customFormat="false" ht="15" hidden="false" customHeight="false" outlineLevel="0" collapsed="false">
      <c r="A27" s="30"/>
      <c r="B27" s="30"/>
      <c r="C27" s="30"/>
      <c r="D27" s="30"/>
      <c r="E27" s="27"/>
      <c r="F27" s="42"/>
      <c r="G27" s="43"/>
      <c r="H27" s="41"/>
      <c r="I27" s="41"/>
      <c r="J27" s="43"/>
      <c r="K27" s="41"/>
      <c r="L27" s="30"/>
      <c r="M27" s="46" t="str">
        <f aca="false">IF(OR(H27="",E27="",E27=0),"",H27/E27)</f>
        <v/>
      </c>
      <c r="N27" s="24" t="str">
        <f aca="false">IF(OR(M27="",I27="",I27=0),"",M27/I27-1)</f>
        <v/>
      </c>
      <c r="O27" s="48" t="str">
        <f aca="false">IF(OR(J27="",K27="",G27="",K27=0),"",IF(AND(G27-J27&lt;=550,H27/K27-1&gt;=0.25),"Likely flip","Not a flip"))</f>
        <v/>
      </c>
      <c r="P27" s="39" t="str">
        <f aca="false">IF(OR(J27="",G27=""),"",(G27-J27)/30.44)</f>
        <v/>
      </c>
      <c r="Q27" s="46" t="str">
        <f aca="false">IF(O27&lt;&gt;"Likely flip","",H27-K27-E27*'Past Flips'!$E$3-H27*'Past Flips'!$E$4)</f>
        <v/>
      </c>
      <c r="R27" s="24" t="str">
        <f aca="false">IF(OR(Q27="",H27=0),"",Q27/H27)</f>
        <v/>
      </c>
    </row>
    <row r="28" customFormat="false" ht="15" hidden="false" customHeight="false" outlineLevel="0" collapsed="false">
      <c r="A28" s="30"/>
      <c r="B28" s="30"/>
      <c r="C28" s="30"/>
      <c r="D28" s="30"/>
      <c r="E28" s="27"/>
      <c r="F28" s="42"/>
      <c r="G28" s="43"/>
      <c r="H28" s="41"/>
      <c r="I28" s="41"/>
      <c r="J28" s="43"/>
      <c r="K28" s="41"/>
      <c r="L28" s="30"/>
      <c r="M28" s="46" t="str">
        <f aca="false">IF(OR(H28="",E28="",E28=0),"",H28/E28)</f>
        <v/>
      </c>
      <c r="N28" s="24" t="str">
        <f aca="false">IF(OR(M28="",I28="",I28=0),"",M28/I28-1)</f>
        <v/>
      </c>
      <c r="O28" s="48" t="str">
        <f aca="false">IF(OR(J28="",K28="",G28="",K28=0),"",IF(AND(G28-J28&lt;=550,H28/K28-1&gt;=0.25),"Likely flip","Not a flip"))</f>
        <v/>
      </c>
      <c r="P28" s="39" t="str">
        <f aca="false">IF(OR(J28="",G28=""),"",(G28-J28)/30.44)</f>
        <v/>
      </c>
      <c r="Q28" s="46" t="str">
        <f aca="false">IF(O28&lt;&gt;"Likely flip","",H28-K28-E28*'Past Flips'!$E$3-H28*'Past Flips'!$E$4)</f>
        <v/>
      </c>
      <c r="R28" s="24" t="str">
        <f aca="false">IF(OR(Q28="",H28=0),"",Q28/H28)</f>
        <v/>
      </c>
    </row>
    <row r="29" customFormat="false" ht="15" hidden="false" customHeight="false" outlineLevel="0" collapsed="false">
      <c r="A29" s="30"/>
      <c r="B29" s="30"/>
      <c r="C29" s="30"/>
      <c r="D29" s="30"/>
      <c r="E29" s="27"/>
      <c r="F29" s="42"/>
      <c r="G29" s="43"/>
      <c r="H29" s="41"/>
      <c r="I29" s="41"/>
      <c r="J29" s="43"/>
      <c r="K29" s="41"/>
      <c r="L29" s="30"/>
      <c r="M29" s="46" t="str">
        <f aca="false">IF(OR(H29="",E29="",E29=0),"",H29/E29)</f>
        <v/>
      </c>
      <c r="N29" s="24" t="str">
        <f aca="false">IF(OR(M29="",I29="",I29=0),"",M29/I29-1)</f>
        <v/>
      </c>
      <c r="O29" s="48" t="str">
        <f aca="false">IF(OR(J29="",K29="",G29="",K29=0),"",IF(AND(G29-J29&lt;=550,H29/K29-1&gt;=0.25),"Likely flip","Not a flip"))</f>
        <v/>
      </c>
      <c r="P29" s="39" t="str">
        <f aca="false">IF(OR(J29="",G29=""),"",(G29-J29)/30.44)</f>
        <v/>
      </c>
      <c r="Q29" s="46" t="str">
        <f aca="false">IF(O29&lt;&gt;"Likely flip","",H29-K29-E29*'Past Flips'!$E$3-H29*'Past Flips'!$E$4)</f>
        <v/>
      </c>
      <c r="R29" s="24" t="str">
        <f aca="false">IF(OR(Q29="",H29=0),"",Q29/H29)</f>
        <v/>
      </c>
    </row>
    <row r="30" customFormat="false" ht="15" hidden="false" customHeight="false" outlineLevel="0" collapsed="false">
      <c r="A30" s="30"/>
      <c r="B30" s="30"/>
      <c r="C30" s="30"/>
      <c r="D30" s="30"/>
      <c r="E30" s="27"/>
      <c r="F30" s="42"/>
      <c r="G30" s="43"/>
      <c r="H30" s="41"/>
      <c r="I30" s="41"/>
      <c r="J30" s="43"/>
      <c r="K30" s="41"/>
      <c r="L30" s="30"/>
      <c r="M30" s="46" t="str">
        <f aca="false">IF(OR(H30="",E30="",E30=0),"",H30/E30)</f>
        <v/>
      </c>
      <c r="N30" s="24" t="str">
        <f aca="false">IF(OR(M30="",I30="",I30=0),"",M30/I30-1)</f>
        <v/>
      </c>
      <c r="O30" s="48" t="str">
        <f aca="false">IF(OR(J30="",K30="",G30="",K30=0),"",IF(AND(G30-J30&lt;=550,H30/K30-1&gt;=0.25),"Likely flip","Not a flip"))</f>
        <v/>
      </c>
      <c r="P30" s="39" t="str">
        <f aca="false">IF(OR(J30="",G30=""),"",(G30-J30)/30.44)</f>
        <v/>
      </c>
      <c r="Q30" s="46" t="str">
        <f aca="false">IF(O30&lt;&gt;"Likely flip","",H30-K30-E30*'Past Flips'!$E$3-H30*'Past Flips'!$E$4)</f>
        <v/>
      </c>
      <c r="R30" s="24" t="str">
        <f aca="false">IF(OR(Q30="",H30=0),"",Q30/H30)</f>
        <v/>
      </c>
    </row>
    <row r="31" customFormat="false" ht="15" hidden="false" customHeight="false" outlineLevel="0" collapsed="false">
      <c r="A31" s="30"/>
      <c r="B31" s="30"/>
      <c r="C31" s="30"/>
      <c r="D31" s="30"/>
      <c r="E31" s="27"/>
      <c r="F31" s="42"/>
      <c r="G31" s="43"/>
      <c r="H31" s="41"/>
      <c r="I31" s="41"/>
      <c r="J31" s="43"/>
      <c r="K31" s="41"/>
      <c r="L31" s="30"/>
      <c r="M31" s="46" t="str">
        <f aca="false">IF(OR(H31="",E31="",E31=0),"",H31/E31)</f>
        <v/>
      </c>
      <c r="N31" s="24" t="str">
        <f aca="false">IF(OR(M31="",I31="",I31=0),"",M31/I31-1)</f>
        <v/>
      </c>
      <c r="O31" s="48" t="str">
        <f aca="false">IF(OR(J31="",K31="",G31="",K31=0),"",IF(AND(G31-J31&lt;=550,H31/K31-1&gt;=0.25),"Likely flip","Not a flip"))</f>
        <v/>
      </c>
      <c r="P31" s="39" t="str">
        <f aca="false">IF(OR(J31="",G31=""),"",(G31-J31)/30.44)</f>
        <v/>
      </c>
      <c r="Q31" s="46" t="str">
        <f aca="false">IF(O31&lt;&gt;"Likely flip","",H31-K31-E31*'Past Flips'!$E$3-H31*'Past Flips'!$E$4)</f>
        <v/>
      </c>
      <c r="R31" s="24" t="str">
        <f aca="false">IF(OR(Q31="",H31=0),"",Q31/H31)</f>
        <v/>
      </c>
    </row>
    <row r="32" customFormat="false" ht="15" hidden="false" customHeight="false" outlineLevel="0" collapsed="false">
      <c r="A32" s="30"/>
      <c r="B32" s="30"/>
      <c r="C32" s="30"/>
      <c r="D32" s="30"/>
      <c r="E32" s="27"/>
      <c r="F32" s="42"/>
      <c r="G32" s="43"/>
      <c r="H32" s="41"/>
      <c r="I32" s="41"/>
      <c r="J32" s="43"/>
      <c r="K32" s="41"/>
      <c r="L32" s="30"/>
      <c r="M32" s="46" t="str">
        <f aca="false">IF(OR(H32="",E32="",E32=0),"",H32/E32)</f>
        <v/>
      </c>
      <c r="N32" s="24" t="str">
        <f aca="false">IF(OR(M32="",I32="",I32=0),"",M32/I32-1)</f>
        <v/>
      </c>
      <c r="O32" s="48" t="str">
        <f aca="false">IF(OR(J32="",K32="",G32="",K32=0),"",IF(AND(G32-J32&lt;=550,H32/K32-1&gt;=0.25),"Likely flip","Not a flip"))</f>
        <v/>
      </c>
      <c r="P32" s="39" t="str">
        <f aca="false">IF(OR(J32="",G32=""),"",(G32-J32)/30.44)</f>
        <v/>
      </c>
      <c r="Q32" s="46" t="str">
        <f aca="false">IF(O32&lt;&gt;"Likely flip","",H32-K32-E32*'Past Flips'!$E$3-H32*'Past Flips'!$E$4)</f>
        <v/>
      </c>
      <c r="R32" s="24" t="str">
        <f aca="false">IF(OR(Q32="",H32=0),"",Q32/H32)</f>
        <v/>
      </c>
    </row>
    <row r="33" customFormat="false" ht="15" hidden="false" customHeight="false" outlineLevel="0" collapsed="false">
      <c r="A33" s="30"/>
      <c r="B33" s="30"/>
      <c r="C33" s="30"/>
      <c r="D33" s="30"/>
      <c r="E33" s="27"/>
      <c r="F33" s="42"/>
      <c r="G33" s="43"/>
      <c r="H33" s="41"/>
      <c r="I33" s="41"/>
      <c r="J33" s="43"/>
      <c r="K33" s="41"/>
      <c r="L33" s="30"/>
      <c r="M33" s="46" t="str">
        <f aca="false">IF(OR(H33="",E33="",E33=0),"",H33/E33)</f>
        <v/>
      </c>
      <c r="N33" s="24" t="str">
        <f aca="false">IF(OR(M33="",I33="",I33=0),"",M33/I33-1)</f>
        <v/>
      </c>
      <c r="O33" s="48" t="str">
        <f aca="false">IF(OR(J33="",K33="",G33="",K33=0),"",IF(AND(G33-J33&lt;=550,H33/K33-1&gt;=0.25),"Likely flip","Not a flip"))</f>
        <v/>
      </c>
      <c r="P33" s="39" t="str">
        <f aca="false">IF(OR(J33="",G33=""),"",(G33-J33)/30.44)</f>
        <v/>
      </c>
      <c r="Q33" s="46" t="str">
        <f aca="false">IF(O33&lt;&gt;"Likely flip","",H33-K33-E33*'Past Flips'!$E$3-H33*'Past Flips'!$E$4)</f>
        <v/>
      </c>
      <c r="R33" s="24" t="str">
        <f aca="false">IF(OR(Q33="",H33=0),"",Q33/H33)</f>
        <v/>
      </c>
    </row>
    <row r="34" customFormat="false" ht="15" hidden="false" customHeight="false" outlineLevel="0" collapsed="false">
      <c r="A34" s="30"/>
      <c r="B34" s="30"/>
      <c r="C34" s="30"/>
      <c r="D34" s="30"/>
      <c r="E34" s="27"/>
      <c r="F34" s="42"/>
      <c r="G34" s="43"/>
      <c r="H34" s="41"/>
      <c r="I34" s="41"/>
      <c r="J34" s="43"/>
      <c r="K34" s="41"/>
      <c r="L34" s="30"/>
      <c r="M34" s="46" t="str">
        <f aca="false">IF(OR(H34="",E34="",E34=0),"",H34/E34)</f>
        <v/>
      </c>
      <c r="N34" s="24" t="str">
        <f aca="false">IF(OR(M34="",I34="",I34=0),"",M34/I34-1)</f>
        <v/>
      </c>
      <c r="O34" s="48" t="str">
        <f aca="false">IF(OR(J34="",K34="",G34="",K34=0),"",IF(AND(G34-J34&lt;=550,H34/K34-1&gt;=0.25),"Likely flip","Not a flip"))</f>
        <v/>
      </c>
      <c r="P34" s="39" t="str">
        <f aca="false">IF(OR(J34="",G34=""),"",(G34-J34)/30.44)</f>
        <v/>
      </c>
      <c r="Q34" s="46" t="str">
        <f aca="false">IF(O34&lt;&gt;"Likely flip","",H34-K34-E34*'Past Flips'!$E$3-H34*'Past Flips'!$E$4)</f>
        <v/>
      </c>
      <c r="R34" s="24" t="str">
        <f aca="false">IF(OR(Q34="",H34=0),"",Q34/H34)</f>
        <v/>
      </c>
    </row>
    <row r="35" customFormat="false" ht="15" hidden="false" customHeight="false" outlineLevel="0" collapsed="false">
      <c r="A35" s="30"/>
      <c r="B35" s="30"/>
      <c r="C35" s="30"/>
      <c r="D35" s="30"/>
      <c r="E35" s="27"/>
      <c r="F35" s="42"/>
      <c r="G35" s="43"/>
      <c r="H35" s="41"/>
      <c r="I35" s="41"/>
      <c r="J35" s="43"/>
      <c r="K35" s="41"/>
      <c r="L35" s="30"/>
      <c r="M35" s="46" t="str">
        <f aca="false">IF(OR(H35="",E35="",E35=0),"",H35/E35)</f>
        <v/>
      </c>
      <c r="N35" s="24" t="str">
        <f aca="false">IF(OR(M35="",I35="",I35=0),"",M35/I35-1)</f>
        <v/>
      </c>
      <c r="O35" s="48" t="str">
        <f aca="false">IF(OR(J35="",K35="",G35="",K35=0),"",IF(AND(G35-J35&lt;=550,H35/K35-1&gt;=0.25),"Likely flip","Not a flip"))</f>
        <v/>
      </c>
      <c r="P35" s="39" t="str">
        <f aca="false">IF(OR(J35="",G35=""),"",(G35-J35)/30.44)</f>
        <v/>
      </c>
      <c r="Q35" s="46" t="str">
        <f aca="false">IF(O35&lt;&gt;"Likely flip","",H35-K35-E35*'Past Flips'!$E$3-H35*'Past Flips'!$E$4)</f>
        <v/>
      </c>
      <c r="R35" s="24" t="str">
        <f aca="false">IF(OR(Q35="",H35=0),"",Q35/H35)</f>
        <v/>
      </c>
    </row>
    <row r="36" customFormat="false" ht="15" hidden="false" customHeight="false" outlineLevel="0" collapsed="false">
      <c r="A36" s="30"/>
      <c r="B36" s="30"/>
      <c r="C36" s="30"/>
      <c r="D36" s="30"/>
      <c r="E36" s="27"/>
      <c r="F36" s="42"/>
      <c r="G36" s="43"/>
      <c r="H36" s="41"/>
      <c r="I36" s="41"/>
      <c r="J36" s="43"/>
      <c r="K36" s="41"/>
      <c r="L36" s="30"/>
      <c r="M36" s="46" t="str">
        <f aca="false">IF(OR(H36="",E36="",E36=0),"",H36/E36)</f>
        <v/>
      </c>
      <c r="N36" s="24" t="str">
        <f aca="false">IF(OR(M36="",I36="",I36=0),"",M36/I36-1)</f>
        <v/>
      </c>
      <c r="O36" s="48" t="str">
        <f aca="false">IF(OR(J36="",K36="",G36="",K36=0),"",IF(AND(G36-J36&lt;=550,H36/K36-1&gt;=0.25),"Likely flip","Not a flip"))</f>
        <v/>
      </c>
      <c r="P36" s="39" t="str">
        <f aca="false">IF(OR(J36="",G36=""),"",(G36-J36)/30.44)</f>
        <v/>
      </c>
      <c r="Q36" s="46" t="str">
        <f aca="false">IF(O36&lt;&gt;"Likely flip","",H36-K36-E36*'Past Flips'!$E$3-H36*'Past Flips'!$E$4)</f>
        <v/>
      </c>
      <c r="R36" s="24" t="str">
        <f aca="false">IF(OR(Q36="",H36=0),"",Q36/H36)</f>
        <v/>
      </c>
    </row>
    <row r="37" customFormat="false" ht="15" hidden="false" customHeight="false" outlineLevel="0" collapsed="false">
      <c r="A37" s="30"/>
      <c r="B37" s="30"/>
      <c r="C37" s="30"/>
      <c r="D37" s="30"/>
      <c r="E37" s="27"/>
      <c r="F37" s="42"/>
      <c r="G37" s="43"/>
      <c r="H37" s="41"/>
      <c r="I37" s="41"/>
      <c r="J37" s="43"/>
      <c r="K37" s="41"/>
      <c r="L37" s="30"/>
      <c r="M37" s="46" t="str">
        <f aca="false">IF(OR(H37="",E37="",E37=0),"",H37/E37)</f>
        <v/>
      </c>
      <c r="N37" s="24" t="str">
        <f aca="false">IF(OR(M37="",I37="",I37=0),"",M37/I37-1)</f>
        <v/>
      </c>
      <c r="O37" s="48" t="str">
        <f aca="false">IF(OR(J37="",K37="",G37="",K37=0),"",IF(AND(G37-J37&lt;=550,H37/K37-1&gt;=0.25),"Likely flip","Not a flip"))</f>
        <v/>
      </c>
      <c r="P37" s="39" t="str">
        <f aca="false">IF(OR(J37="",G37=""),"",(G37-J37)/30.44)</f>
        <v/>
      </c>
      <c r="Q37" s="46" t="str">
        <f aca="false">IF(O37&lt;&gt;"Likely flip","",H37-K37-E37*'Past Flips'!$E$3-H37*'Past Flips'!$E$4)</f>
        <v/>
      </c>
      <c r="R37" s="24" t="str">
        <f aca="false">IF(OR(Q37="",H37=0),"",Q37/H37)</f>
        <v/>
      </c>
    </row>
    <row r="38" customFormat="false" ht="15" hidden="false" customHeight="false" outlineLevel="0" collapsed="false">
      <c r="A38" s="30"/>
      <c r="B38" s="30"/>
      <c r="C38" s="30"/>
      <c r="D38" s="30"/>
      <c r="E38" s="27"/>
      <c r="F38" s="42"/>
      <c r="G38" s="43"/>
      <c r="H38" s="41"/>
      <c r="I38" s="41"/>
      <c r="J38" s="43"/>
      <c r="K38" s="41"/>
      <c r="L38" s="30"/>
      <c r="M38" s="46" t="str">
        <f aca="false">IF(OR(H38="",E38="",E38=0),"",H38/E38)</f>
        <v/>
      </c>
      <c r="N38" s="24" t="str">
        <f aca="false">IF(OR(M38="",I38="",I38=0),"",M38/I38-1)</f>
        <v/>
      </c>
      <c r="O38" s="48" t="str">
        <f aca="false">IF(OR(J38="",K38="",G38="",K38=0),"",IF(AND(G38-J38&lt;=550,H38/K38-1&gt;=0.25),"Likely flip","Not a flip"))</f>
        <v/>
      </c>
      <c r="P38" s="39" t="str">
        <f aca="false">IF(OR(J38="",G38=""),"",(G38-J38)/30.44)</f>
        <v/>
      </c>
      <c r="Q38" s="46" t="str">
        <f aca="false">IF(O38&lt;&gt;"Likely flip","",H38-K38-E38*'Past Flips'!$E$3-H38*'Past Flips'!$E$4)</f>
        <v/>
      </c>
      <c r="R38" s="24" t="str">
        <f aca="false">IF(OR(Q38="",H38=0),"",Q38/H38)</f>
        <v/>
      </c>
    </row>
    <row r="39" customFormat="false" ht="15" hidden="false" customHeight="false" outlineLevel="0" collapsed="false">
      <c r="A39" s="30"/>
      <c r="B39" s="30"/>
      <c r="C39" s="30"/>
      <c r="D39" s="30"/>
      <c r="E39" s="27"/>
      <c r="F39" s="42"/>
      <c r="G39" s="43"/>
      <c r="H39" s="41"/>
      <c r="I39" s="41"/>
      <c r="J39" s="43"/>
      <c r="K39" s="41"/>
      <c r="L39" s="30"/>
      <c r="M39" s="46" t="str">
        <f aca="false">IF(OR(H39="",E39="",E39=0),"",H39/E39)</f>
        <v/>
      </c>
      <c r="N39" s="24" t="str">
        <f aca="false">IF(OR(M39="",I39="",I39=0),"",M39/I39-1)</f>
        <v/>
      </c>
      <c r="O39" s="48" t="str">
        <f aca="false">IF(OR(J39="",K39="",G39="",K39=0),"",IF(AND(G39-J39&lt;=550,H39/K39-1&gt;=0.25),"Likely flip","Not a flip"))</f>
        <v/>
      </c>
      <c r="P39" s="39" t="str">
        <f aca="false">IF(OR(J39="",G39=""),"",(G39-J39)/30.44)</f>
        <v/>
      </c>
      <c r="Q39" s="46" t="str">
        <f aca="false">IF(O39&lt;&gt;"Likely flip","",H39-K39-E39*'Past Flips'!$E$3-H39*'Past Flips'!$E$4)</f>
        <v/>
      </c>
      <c r="R39" s="24" t="str">
        <f aca="false">IF(OR(Q39="",H39=0),"",Q39/H39)</f>
        <v/>
      </c>
    </row>
    <row r="40" customFormat="false" ht="15" hidden="false" customHeight="false" outlineLevel="0" collapsed="false">
      <c r="A40" s="30"/>
      <c r="B40" s="30"/>
      <c r="C40" s="30"/>
      <c r="D40" s="30"/>
      <c r="E40" s="27"/>
      <c r="F40" s="42"/>
      <c r="G40" s="43"/>
      <c r="H40" s="41"/>
      <c r="I40" s="41"/>
      <c r="J40" s="43"/>
      <c r="K40" s="41"/>
      <c r="L40" s="30"/>
      <c r="M40" s="46" t="str">
        <f aca="false">IF(OR(H40="",E40="",E40=0),"",H40/E40)</f>
        <v/>
      </c>
      <c r="N40" s="24" t="str">
        <f aca="false">IF(OR(M40="",I40="",I40=0),"",M40/I40-1)</f>
        <v/>
      </c>
      <c r="O40" s="48" t="str">
        <f aca="false">IF(OR(J40="",K40="",G40="",K40=0),"",IF(AND(G40-J40&lt;=550,H40/K40-1&gt;=0.25),"Likely flip","Not a flip"))</f>
        <v/>
      </c>
      <c r="P40" s="39" t="str">
        <f aca="false">IF(OR(J40="",G40=""),"",(G40-J40)/30.44)</f>
        <v/>
      </c>
      <c r="Q40" s="46" t="str">
        <f aca="false">IF(O40&lt;&gt;"Likely flip","",H40-K40-E40*'Past Flips'!$E$3-H40*'Past Flips'!$E$4)</f>
        <v/>
      </c>
      <c r="R40" s="24" t="str">
        <f aca="false">IF(OR(Q40="",H40=0),"",Q40/H40)</f>
        <v/>
      </c>
    </row>
    <row r="41" customFormat="false" ht="15" hidden="false" customHeight="false" outlineLevel="0" collapsed="false">
      <c r="A41" s="30"/>
      <c r="B41" s="30"/>
      <c r="C41" s="30"/>
      <c r="D41" s="30"/>
      <c r="E41" s="27"/>
      <c r="F41" s="42"/>
      <c r="G41" s="43"/>
      <c r="H41" s="41"/>
      <c r="I41" s="41"/>
      <c r="J41" s="43"/>
      <c r="K41" s="41"/>
      <c r="L41" s="30"/>
      <c r="M41" s="46" t="str">
        <f aca="false">IF(OR(H41="",E41="",E41=0),"",H41/E41)</f>
        <v/>
      </c>
      <c r="N41" s="24" t="str">
        <f aca="false">IF(OR(M41="",I41="",I41=0),"",M41/I41-1)</f>
        <v/>
      </c>
      <c r="O41" s="48" t="str">
        <f aca="false">IF(OR(J41="",K41="",G41="",K41=0),"",IF(AND(G41-J41&lt;=550,H41/K41-1&gt;=0.25),"Likely flip","Not a flip"))</f>
        <v/>
      </c>
      <c r="P41" s="39" t="str">
        <f aca="false">IF(OR(J41="",G41=""),"",(G41-J41)/30.44)</f>
        <v/>
      </c>
      <c r="Q41" s="46" t="str">
        <f aca="false">IF(O41&lt;&gt;"Likely flip","",H41-K41-E41*'Past Flips'!$E$3-H41*'Past Flips'!$E$4)</f>
        <v/>
      </c>
      <c r="R41" s="24" t="str">
        <f aca="false">IF(OR(Q41="",H41=0),"",Q41/H41)</f>
        <v/>
      </c>
    </row>
    <row r="42" customFormat="false" ht="15" hidden="false" customHeight="false" outlineLevel="0" collapsed="false">
      <c r="A42" s="30"/>
      <c r="B42" s="30"/>
      <c r="C42" s="30"/>
      <c r="D42" s="30"/>
      <c r="E42" s="27"/>
      <c r="F42" s="42"/>
      <c r="G42" s="43"/>
      <c r="H42" s="41"/>
      <c r="I42" s="41"/>
      <c r="J42" s="43"/>
      <c r="K42" s="41"/>
      <c r="L42" s="30"/>
      <c r="M42" s="46" t="str">
        <f aca="false">IF(OR(H42="",E42="",E42=0),"",H42/E42)</f>
        <v/>
      </c>
      <c r="N42" s="24" t="str">
        <f aca="false">IF(OR(M42="",I42="",I42=0),"",M42/I42-1)</f>
        <v/>
      </c>
      <c r="O42" s="48" t="str">
        <f aca="false">IF(OR(J42="",K42="",G42="",K42=0),"",IF(AND(G42-J42&lt;=550,H42/K42-1&gt;=0.25),"Likely flip","Not a flip"))</f>
        <v/>
      </c>
      <c r="P42" s="39" t="str">
        <f aca="false">IF(OR(J42="",G42=""),"",(G42-J42)/30.44)</f>
        <v/>
      </c>
      <c r="Q42" s="46" t="str">
        <f aca="false">IF(O42&lt;&gt;"Likely flip","",H42-K42-E42*'Past Flips'!$E$3-H42*'Past Flips'!$E$4)</f>
        <v/>
      </c>
      <c r="R42" s="24" t="str">
        <f aca="false">IF(OR(Q42="",H42=0),"",Q42/H42)</f>
        <v/>
      </c>
    </row>
    <row r="43" customFormat="false" ht="15" hidden="false" customHeight="false" outlineLevel="0" collapsed="false">
      <c r="A43" s="30"/>
      <c r="B43" s="30"/>
      <c r="C43" s="30"/>
      <c r="D43" s="30"/>
      <c r="E43" s="27"/>
      <c r="F43" s="42"/>
      <c r="G43" s="43"/>
      <c r="H43" s="41"/>
      <c r="I43" s="41"/>
      <c r="J43" s="43"/>
      <c r="K43" s="41"/>
      <c r="L43" s="30"/>
      <c r="M43" s="46" t="str">
        <f aca="false">IF(OR(H43="",E43="",E43=0),"",H43/E43)</f>
        <v/>
      </c>
      <c r="N43" s="24" t="str">
        <f aca="false">IF(OR(M43="",I43="",I43=0),"",M43/I43-1)</f>
        <v/>
      </c>
      <c r="O43" s="48" t="str">
        <f aca="false">IF(OR(J43="",K43="",G43="",K43=0),"",IF(AND(G43-J43&lt;=550,H43/K43-1&gt;=0.25),"Likely flip","Not a flip"))</f>
        <v/>
      </c>
      <c r="P43" s="39" t="str">
        <f aca="false">IF(OR(J43="",G43=""),"",(G43-J43)/30.44)</f>
        <v/>
      </c>
      <c r="Q43" s="46" t="str">
        <f aca="false">IF(O43&lt;&gt;"Likely flip","",H43-K43-E43*'Past Flips'!$E$3-H43*'Past Flips'!$E$4)</f>
        <v/>
      </c>
      <c r="R43" s="24" t="str">
        <f aca="false">IF(OR(Q43="",H43=0),"",Q43/H43)</f>
        <v/>
      </c>
    </row>
    <row r="44" customFormat="false" ht="15" hidden="false" customHeight="false" outlineLevel="0" collapsed="false">
      <c r="A44" s="30"/>
      <c r="B44" s="30"/>
      <c r="C44" s="30"/>
      <c r="D44" s="30"/>
      <c r="E44" s="27"/>
      <c r="F44" s="42"/>
      <c r="G44" s="43"/>
      <c r="H44" s="41"/>
      <c r="I44" s="41"/>
      <c r="J44" s="43"/>
      <c r="K44" s="41"/>
      <c r="L44" s="30"/>
      <c r="M44" s="46" t="str">
        <f aca="false">IF(OR(H44="",E44="",E44=0),"",H44/E44)</f>
        <v/>
      </c>
      <c r="N44" s="24" t="str">
        <f aca="false">IF(OR(M44="",I44="",I44=0),"",M44/I44-1)</f>
        <v/>
      </c>
      <c r="O44" s="48" t="str">
        <f aca="false">IF(OR(J44="",K44="",G44="",K44=0),"",IF(AND(G44-J44&lt;=550,H44/K44-1&gt;=0.25),"Likely flip","Not a flip"))</f>
        <v/>
      </c>
      <c r="P44" s="39" t="str">
        <f aca="false">IF(OR(J44="",G44=""),"",(G44-J44)/30.44)</f>
        <v/>
      </c>
      <c r="Q44" s="46" t="str">
        <f aca="false">IF(O44&lt;&gt;"Likely flip","",H44-K44-E44*'Past Flips'!$E$3-H44*'Past Flips'!$E$4)</f>
        <v/>
      </c>
      <c r="R44" s="24" t="str">
        <f aca="false">IF(OR(Q44="",H44=0),"",Q44/H44)</f>
        <v/>
      </c>
    </row>
    <row r="45" customFormat="false" ht="15" hidden="false" customHeight="false" outlineLevel="0" collapsed="false">
      <c r="A45" s="30"/>
      <c r="B45" s="30"/>
      <c r="C45" s="30"/>
      <c r="D45" s="30"/>
      <c r="E45" s="27"/>
      <c r="F45" s="42"/>
      <c r="G45" s="43"/>
      <c r="H45" s="41"/>
      <c r="I45" s="41"/>
      <c r="J45" s="43"/>
      <c r="K45" s="41"/>
      <c r="L45" s="30"/>
      <c r="M45" s="46" t="str">
        <f aca="false">IF(OR(H45="",E45="",E45=0),"",H45/E45)</f>
        <v/>
      </c>
      <c r="N45" s="24" t="str">
        <f aca="false">IF(OR(M45="",I45="",I45=0),"",M45/I45-1)</f>
        <v/>
      </c>
      <c r="O45" s="48" t="str">
        <f aca="false">IF(OR(J45="",K45="",G45="",K45=0),"",IF(AND(G45-J45&lt;=550,H45/K45-1&gt;=0.25),"Likely flip","Not a flip"))</f>
        <v/>
      </c>
      <c r="P45" s="39" t="str">
        <f aca="false">IF(OR(J45="",G45=""),"",(G45-J45)/30.44)</f>
        <v/>
      </c>
      <c r="Q45" s="46" t="str">
        <f aca="false">IF(O45&lt;&gt;"Likely flip","",H45-K45-E45*'Past Flips'!$E$3-H45*'Past Flips'!$E$4)</f>
        <v/>
      </c>
      <c r="R45" s="24" t="str">
        <f aca="false">IF(OR(Q45="",H45=0),"",Q45/H45)</f>
        <v/>
      </c>
    </row>
    <row r="46" customFormat="false" ht="15" hidden="false" customHeight="false" outlineLevel="0" collapsed="false">
      <c r="A46" s="30"/>
      <c r="B46" s="30"/>
      <c r="C46" s="30"/>
      <c r="D46" s="30"/>
      <c r="E46" s="27"/>
      <c r="F46" s="42"/>
      <c r="G46" s="43"/>
      <c r="H46" s="41"/>
      <c r="I46" s="41"/>
      <c r="J46" s="43"/>
      <c r="K46" s="41"/>
      <c r="L46" s="30"/>
      <c r="M46" s="46" t="str">
        <f aca="false">IF(OR(H46="",E46="",E46=0),"",H46/E46)</f>
        <v/>
      </c>
      <c r="N46" s="24" t="str">
        <f aca="false">IF(OR(M46="",I46="",I46=0),"",M46/I46-1)</f>
        <v/>
      </c>
      <c r="O46" s="48" t="str">
        <f aca="false">IF(OR(J46="",K46="",G46="",K46=0),"",IF(AND(G46-J46&lt;=550,H46/K46-1&gt;=0.25),"Likely flip","Not a flip"))</f>
        <v/>
      </c>
      <c r="P46" s="39" t="str">
        <f aca="false">IF(OR(J46="",G46=""),"",(G46-J46)/30.44)</f>
        <v/>
      </c>
      <c r="Q46" s="46" t="str">
        <f aca="false">IF(O46&lt;&gt;"Likely flip","",H46-K46-E46*'Past Flips'!$E$3-H46*'Past Flips'!$E$4)</f>
        <v/>
      </c>
      <c r="R46" s="24" t="str">
        <f aca="false">IF(OR(Q46="",H46=0),"",Q46/H46)</f>
        <v/>
      </c>
    </row>
    <row r="47" customFormat="false" ht="15" hidden="false" customHeight="false" outlineLevel="0" collapsed="false">
      <c r="A47" s="30"/>
      <c r="B47" s="30"/>
      <c r="C47" s="30"/>
      <c r="D47" s="30"/>
      <c r="E47" s="27"/>
      <c r="F47" s="42"/>
      <c r="G47" s="43"/>
      <c r="H47" s="41"/>
      <c r="I47" s="41"/>
      <c r="J47" s="43"/>
      <c r="K47" s="41"/>
      <c r="L47" s="30"/>
      <c r="M47" s="46" t="str">
        <f aca="false">IF(OR(H47="",E47="",E47=0),"",H47/E47)</f>
        <v/>
      </c>
      <c r="N47" s="24" t="str">
        <f aca="false">IF(OR(M47="",I47="",I47=0),"",M47/I47-1)</f>
        <v/>
      </c>
      <c r="O47" s="48" t="str">
        <f aca="false">IF(OR(J47="",K47="",G47="",K47=0),"",IF(AND(G47-J47&lt;=550,H47/K47-1&gt;=0.25),"Likely flip","Not a flip"))</f>
        <v/>
      </c>
      <c r="P47" s="39" t="str">
        <f aca="false">IF(OR(J47="",G47=""),"",(G47-J47)/30.44)</f>
        <v/>
      </c>
      <c r="Q47" s="46" t="str">
        <f aca="false">IF(O47&lt;&gt;"Likely flip","",H47-K47-E47*'Past Flips'!$E$3-H47*'Past Flips'!$E$4)</f>
        <v/>
      </c>
      <c r="R47" s="24" t="str">
        <f aca="false">IF(OR(Q47="",H47=0),"",Q47/H47)</f>
        <v/>
      </c>
    </row>
    <row r="48" customFormat="false" ht="15" hidden="false" customHeight="false" outlineLevel="0" collapsed="false">
      <c r="A48" s="30"/>
      <c r="B48" s="30"/>
      <c r="C48" s="30"/>
      <c r="D48" s="30"/>
      <c r="E48" s="27"/>
      <c r="F48" s="42"/>
      <c r="G48" s="43"/>
      <c r="H48" s="41"/>
      <c r="I48" s="41"/>
      <c r="J48" s="43"/>
      <c r="K48" s="41"/>
      <c r="L48" s="30"/>
      <c r="M48" s="46" t="str">
        <f aca="false">IF(OR(H48="",E48="",E48=0),"",H48/E48)</f>
        <v/>
      </c>
      <c r="N48" s="24" t="str">
        <f aca="false">IF(OR(M48="",I48="",I48=0),"",M48/I48-1)</f>
        <v/>
      </c>
      <c r="O48" s="48" t="str">
        <f aca="false">IF(OR(J48="",K48="",G48="",K48=0),"",IF(AND(G48-J48&lt;=550,H48/K48-1&gt;=0.25),"Likely flip","Not a flip"))</f>
        <v/>
      </c>
      <c r="P48" s="39" t="str">
        <f aca="false">IF(OR(J48="",G48=""),"",(G48-J48)/30.44)</f>
        <v/>
      </c>
      <c r="Q48" s="46" t="str">
        <f aca="false">IF(O48&lt;&gt;"Likely flip","",H48-K48-E48*'Past Flips'!$E$3-H48*'Past Flips'!$E$4)</f>
        <v/>
      </c>
      <c r="R48" s="24" t="str">
        <f aca="false">IF(OR(Q48="",H48=0),"",Q48/H48)</f>
        <v/>
      </c>
    </row>
    <row r="49" customFormat="false" ht="15" hidden="false" customHeight="false" outlineLevel="0" collapsed="false">
      <c r="A49" s="30"/>
      <c r="B49" s="30"/>
      <c r="C49" s="30"/>
      <c r="D49" s="30"/>
      <c r="E49" s="27"/>
      <c r="F49" s="42"/>
      <c r="G49" s="43"/>
      <c r="H49" s="41"/>
      <c r="I49" s="41"/>
      <c r="J49" s="43"/>
      <c r="K49" s="41"/>
      <c r="L49" s="30"/>
      <c r="M49" s="46" t="str">
        <f aca="false">IF(OR(H49="",E49="",E49=0),"",H49/E49)</f>
        <v/>
      </c>
      <c r="N49" s="24" t="str">
        <f aca="false">IF(OR(M49="",I49="",I49=0),"",M49/I49-1)</f>
        <v/>
      </c>
      <c r="O49" s="48" t="str">
        <f aca="false">IF(OR(J49="",K49="",G49="",K49=0),"",IF(AND(G49-J49&lt;=550,H49/K49-1&gt;=0.25),"Likely flip","Not a flip"))</f>
        <v/>
      </c>
      <c r="P49" s="39" t="str">
        <f aca="false">IF(OR(J49="",G49=""),"",(G49-J49)/30.44)</f>
        <v/>
      </c>
      <c r="Q49" s="46" t="str">
        <f aca="false">IF(O49&lt;&gt;"Likely flip","",H49-K49-E49*'Past Flips'!$E$3-H49*'Past Flips'!$E$4)</f>
        <v/>
      </c>
      <c r="R49" s="24" t="str">
        <f aca="false">IF(OR(Q49="",H49=0),"",Q49/H49)</f>
        <v/>
      </c>
    </row>
    <row r="50" customFormat="false" ht="15" hidden="false" customHeight="false" outlineLevel="0" collapsed="false">
      <c r="A50" s="30"/>
      <c r="B50" s="30"/>
      <c r="C50" s="30"/>
      <c r="D50" s="30"/>
      <c r="E50" s="27"/>
      <c r="F50" s="42"/>
      <c r="G50" s="43"/>
      <c r="H50" s="41"/>
      <c r="I50" s="41"/>
      <c r="J50" s="43"/>
      <c r="K50" s="41"/>
      <c r="L50" s="30"/>
      <c r="M50" s="46" t="str">
        <f aca="false">IF(OR(H50="",E50="",E50=0),"",H50/E50)</f>
        <v/>
      </c>
      <c r="N50" s="24" t="str">
        <f aca="false">IF(OR(M50="",I50="",I50=0),"",M50/I50-1)</f>
        <v/>
      </c>
      <c r="O50" s="48" t="str">
        <f aca="false">IF(OR(J50="",K50="",G50="",K50=0),"",IF(AND(G50-J50&lt;=550,H50/K50-1&gt;=0.25),"Likely flip","Not a flip"))</f>
        <v/>
      </c>
      <c r="P50" s="39" t="str">
        <f aca="false">IF(OR(J50="",G50=""),"",(G50-J50)/30.44)</f>
        <v/>
      </c>
      <c r="Q50" s="46" t="str">
        <f aca="false">IF(O50&lt;&gt;"Likely flip","",H50-K50-E50*'Past Flips'!$E$3-H50*'Past Flips'!$E$4)</f>
        <v/>
      </c>
      <c r="R50" s="24" t="str">
        <f aca="false">IF(OR(Q50="",H50=0),"",Q50/H50)</f>
        <v/>
      </c>
    </row>
    <row r="51" customFormat="false" ht="15" hidden="false" customHeight="false" outlineLevel="0" collapsed="false">
      <c r="A51" s="30"/>
      <c r="B51" s="30"/>
      <c r="C51" s="30"/>
      <c r="D51" s="30"/>
      <c r="E51" s="27"/>
      <c r="F51" s="42"/>
      <c r="G51" s="43"/>
      <c r="H51" s="41"/>
      <c r="I51" s="41"/>
      <c r="J51" s="43"/>
      <c r="K51" s="41"/>
      <c r="L51" s="30"/>
      <c r="M51" s="46" t="str">
        <f aca="false">IF(OR(H51="",E51="",E51=0),"",H51/E51)</f>
        <v/>
      </c>
      <c r="N51" s="24" t="str">
        <f aca="false">IF(OR(M51="",I51="",I51=0),"",M51/I51-1)</f>
        <v/>
      </c>
      <c r="O51" s="48" t="str">
        <f aca="false">IF(OR(J51="",K51="",G51="",K51=0),"",IF(AND(G51-J51&lt;=550,H51/K51-1&gt;=0.25),"Likely flip","Not a flip"))</f>
        <v/>
      </c>
      <c r="P51" s="39" t="str">
        <f aca="false">IF(OR(J51="",G51=""),"",(G51-J51)/30.44)</f>
        <v/>
      </c>
      <c r="Q51" s="46" t="str">
        <f aca="false">IF(O51&lt;&gt;"Likely flip","",H51-K51-E51*'Past Flips'!$E$3-H51*'Past Flips'!$E$4)</f>
        <v/>
      </c>
      <c r="R51" s="24" t="str">
        <f aca="false">IF(OR(Q51="",H51=0),"",Q51/H51)</f>
        <v/>
      </c>
    </row>
    <row r="52" customFormat="false" ht="15" hidden="false" customHeight="false" outlineLevel="0" collapsed="false">
      <c r="A52" s="30"/>
      <c r="B52" s="30"/>
      <c r="C52" s="30"/>
      <c r="D52" s="30"/>
      <c r="E52" s="27"/>
      <c r="F52" s="42"/>
      <c r="G52" s="43"/>
      <c r="H52" s="41"/>
      <c r="I52" s="41"/>
      <c r="J52" s="43"/>
      <c r="K52" s="41"/>
      <c r="L52" s="30"/>
      <c r="M52" s="46" t="str">
        <f aca="false">IF(OR(H52="",E52="",E52=0),"",H52/E52)</f>
        <v/>
      </c>
      <c r="N52" s="24" t="str">
        <f aca="false">IF(OR(M52="",I52="",I52=0),"",M52/I52-1)</f>
        <v/>
      </c>
      <c r="O52" s="48" t="str">
        <f aca="false">IF(OR(J52="",K52="",G52="",K52=0),"",IF(AND(G52-J52&lt;=550,H52/K52-1&gt;=0.25),"Likely flip","Not a flip"))</f>
        <v/>
      </c>
      <c r="P52" s="39" t="str">
        <f aca="false">IF(OR(J52="",G52=""),"",(G52-J52)/30.44)</f>
        <v/>
      </c>
      <c r="Q52" s="46" t="str">
        <f aca="false">IF(O52&lt;&gt;"Likely flip","",H52-K52-E52*'Past Flips'!$E$3-H52*'Past Flips'!$E$4)</f>
        <v/>
      </c>
      <c r="R52" s="24" t="str">
        <f aca="false">IF(OR(Q52="",H52=0),"",Q52/H52)</f>
        <v/>
      </c>
    </row>
    <row r="53" customFormat="false" ht="15" hidden="false" customHeight="false" outlineLevel="0" collapsed="false">
      <c r="A53" s="30"/>
      <c r="B53" s="30"/>
      <c r="C53" s="30"/>
      <c r="D53" s="30"/>
      <c r="E53" s="27"/>
      <c r="F53" s="42"/>
      <c r="G53" s="43"/>
      <c r="H53" s="41"/>
      <c r="I53" s="41"/>
      <c r="J53" s="43"/>
      <c r="K53" s="41"/>
      <c r="L53" s="30"/>
      <c r="M53" s="46" t="str">
        <f aca="false">IF(OR(H53="",E53="",E53=0),"",H53/E53)</f>
        <v/>
      </c>
      <c r="N53" s="24" t="str">
        <f aca="false">IF(OR(M53="",I53="",I53=0),"",M53/I53-1)</f>
        <v/>
      </c>
      <c r="O53" s="48" t="str">
        <f aca="false">IF(OR(J53="",K53="",G53="",K53=0),"",IF(AND(G53-J53&lt;=550,H53/K53-1&gt;=0.25),"Likely flip","Not a flip"))</f>
        <v/>
      </c>
      <c r="P53" s="39" t="str">
        <f aca="false">IF(OR(J53="",G53=""),"",(G53-J53)/30.44)</f>
        <v/>
      </c>
      <c r="Q53" s="46" t="str">
        <f aca="false">IF(O53&lt;&gt;"Likely flip","",H53-K53-E53*'Past Flips'!$E$3-H53*'Past Flips'!$E$4)</f>
        <v/>
      </c>
      <c r="R53" s="24" t="str">
        <f aca="false">IF(OR(Q53="",H53=0),"",Q53/H53)</f>
        <v/>
      </c>
    </row>
    <row r="54" customFormat="false" ht="15" hidden="false" customHeight="false" outlineLevel="0" collapsed="false">
      <c r="A54" s="30"/>
      <c r="B54" s="30"/>
      <c r="C54" s="30"/>
      <c r="D54" s="30"/>
      <c r="E54" s="27"/>
      <c r="F54" s="42"/>
      <c r="G54" s="43"/>
      <c r="H54" s="41"/>
      <c r="I54" s="41"/>
      <c r="J54" s="43"/>
      <c r="K54" s="41"/>
      <c r="L54" s="30"/>
      <c r="M54" s="46" t="str">
        <f aca="false">IF(OR(H54="",E54="",E54=0),"",H54/E54)</f>
        <v/>
      </c>
      <c r="N54" s="24" t="str">
        <f aca="false">IF(OR(M54="",I54="",I54=0),"",M54/I54-1)</f>
        <v/>
      </c>
      <c r="O54" s="48" t="str">
        <f aca="false">IF(OR(J54="",K54="",G54="",K54=0),"",IF(AND(G54-J54&lt;=550,H54/K54-1&gt;=0.25),"Likely flip","Not a flip"))</f>
        <v/>
      </c>
      <c r="P54" s="39" t="str">
        <f aca="false">IF(OR(J54="",G54=""),"",(G54-J54)/30.44)</f>
        <v/>
      </c>
      <c r="Q54" s="46" t="str">
        <f aca="false">IF(O54&lt;&gt;"Likely flip","",H54-K54-E54*'Past Flips'!$E$3-H54*'Past Flips'!$E$4)</f>
        <v/>
      </c>
      <c r="R54" s="24" t="str">
        <f aca="false">IF(OR(Q54="",H54=0),"",Q54/H54)</f>
        <v/>
      </c>
    </row>
    <row r="55" customFormat="false" ht="15" hidden="false" customHeight="false" outlineLevel="0" collapsed="false">
      <c r="A55" s="30"/>
      <c r="B55" s="30"/>
      <c r="C55" s="30"/>
      <c r="D55" s="30"/>
      <c r="E55" s="27"/>
      <c r="F55" s="42"/>
      <c r="G55" s="43"/>
      <c r="H55" s="41"/>
      <c r="I55" s="41"/>
      <c r="J55" s="43"/>
      <c r="K55" s="41"/>
      <c r="L55" s="30"/>
      <c r="M55" s="46" t="str">
        <f aca="false">IF(OR(H55="",E55="",E55=0),"",H55/E55)</f>
        <v/>
      </c>
      <c r="N55" s="24" t="str">
        <f aca="false">IF(OR(M55="",I55="",I55=0),"",M55/I55-1)</f>
        <v/>
      </c>
      <c r="O55" s="48" t="str">
        <f aca="false">IF(OR(J55="",K55="",G55="",K55=0),"",IF(AND(G55-J55&lt;=550,H55/K55-1&gt;=0.25),"Likely flip","Not a flip"))</f>
        <v/>
      </c>
      <c r="P55" s="39" t="str">
        <f aca="false">IF(OR(J55="",G55=""),"",(G55-J55)/30.44)</f>
        <v/>
      </c>
      <c r="Q55" s="46" t="str">
        <f aca="false">IF(O55&lt;&gt;"Likely flip","",H55-K55-E55*'Past Flips'!$E$3-H55*'Past Flips'!$E$4)</f>
        <v/>
      </c>
      <c r="R55" s="24" t="str">
        <f aca="false">IF(OR(Q55="",H55=0),"",Q55/H55)</f>
        <v/>
      </c>
    </row>
    <row r="56" customFormat="false" ht="15" hidden="false" customHeight="false" outlineLevel="0" collapsed="false">
      <c r="A56" s="30"/>
      <c r="B56" s="30"/>
      <c r="C56" s="30"/>
      <c r="D56" s="30"/>
      <c r="E56" s="27"/>
      <c r="F56" s="42"/>
      <c r="G56" s="43"/>
      <c r="H56" s="41"/>
      <c r="I56" s="41"/>
      <c r="J56" s="43"/>
      <c r="K56" s="41"/>
      <c r="L56" s="30"/>
      <c r="M56" s="46" t="str">
        <f aca="false">IF(OR(H56="",E56="",E56=0),"",H56/E56)</f>
        <v/>
      </c>
      <c r="N56" s="24" t="str">
        <f aca="false">IF(OR(M56="",I56="",I56=0),"",M56/I56-1)</f>
        <v/>
      </c>
      <c r="O56" s="48" t="str">
        <f aca="false">IF(OR(J56="",K56="",G56="",K56=0),"",IF(AND(G56-J56&lt;=550,H56/K56-1&gt;=0.25),"Likely flip","Not a flip"))</f>
        <v/>
      </c>
      <c r="P56" s="39" t="str">
        <f aca="false">IF(OR(J56="",G56=""),"",(G56-J56)/30.44)</f>
        <v/>
      </c>
      <c r="Q56" s="46" t="str">
        <f aca="false">IF(O56&lt;&gt;"Likely flip","",H56-K56-E56*'Past Flips'!$E$3-H56*'Past Flips'!$E$4)</f>
        <v/>
      </c>
      <c r="R56" s="24" t="str">
        <f aca="false">IF(OR(Q56="",H56=0),"",Q56/H56)</f>
        <v/>
      </c>
    </row>
    <row r="57" customFormat="false" ht="15" hidden="false" customHeight="false" outlineLevel="0" collapsed="false">
      <c r="A57" s="30"/>
      <c r="B57" s="30"/>
      <c r="C57" s="30"/>
      <c r="D57" s="30"/>
      <c r="E57" s="27"/>
      <c r="F57" s="42"/>
      <c r="G57" s="43"/>
      <c r="H57" s="41"/>
      <c r="I57" s="41"/>
      <c r="J57" s="43"/>
      <c r="K57" s="41"/>
      <c r="L57" s="30"/>
      <c r="M57" s="46" t="str">
        <f aca="false">IF(OR(H57="",E57="",E57=0),"",H57/E57)</f>
        <v/>
      </c>
      <c r="N57" s="24" t="str">
        <f aca="false">IF(OR(M57="",I57="",I57=0),"",M57/I57-1)</f>
        <v/>
      </c>
      <c r="O57" s="48" t="str">
        <f aca="false">IF(OR(J57="",K57="",G57="",K57=0),"",IF(AND(G57-J57&lt;=550,H57/K57-1&gt;=0.25),"Likely flip","Not a flip"))</f>
        <v/>
      </c>
      <c r="P57" s="39" t="str">
        <f aca="false">IF(OR(J57="",G57=""),"",(G57-J57)/30.44)</f>
        <v/>
      </c>
      <c r="Q57" s="46" t="str">
        <f aca="false">IF(O57&lt;&gt;"Likely flip","",H57-K57-E57*'Past Flips'!$E$3-H57*'Past Flips'!$E$4)</f>
        <v/>
      </c>
      <c r="R57" s="24" t="str">
        <f aca="false">IF(OR(Q57="",H57=0),"",Q57/H57)</f>
        <v/>
      </c>
    </row>
    <row r="58" customFormat="false" ht="15" hidden="false" customHeight="false" outlineLevel="0" collapsed="false">
      <c r="A58" s="30"/>
      <c r="B58" s="30"/>
      <c r="C58" s="30"/>
      <c r="D58" s="30"/>
      <c r="E58" s="27"/>
      <c r="F58" s="42"/>
      <c r="G58" s="43"/>
      <c r="H58" s="41"/>
      <c r="I58" s="41"/>
      <c r="J58" s="43"/>
      <c r="K58" s="41"/>
      <c r="L58" s="30"/>
      <c r="M58" s="46" t="str">
        <f aca="false">IF(OR(H58="",E58="",E58=0),"",H58/E58)</f>
        <v/>
      </c>
      <c r="N58" s="24" t="str">
        <f aca="false">IF(OR(M58="",I58="",I58=0),"",M58/I58-1)</f>
        <v/>
      </c>
      <c r="O58" s="48" t="str">
        <f aca="false">IF(OR(J58="",K58="",G58="",K58=0),"",IF(AND(G58-J58&lt;=550,H58/K58-1&gt;=0.25),"Likely flip","Not a flip"))</f>
        <v/>
      </c>
      <c r="P58" s="39" t="str">
        <f aca="false">IF(OR(J58="",G58=""),"",(G58-J58)/30.44)</f>
        <v/>
      </c>
      <c r="Q58" s="46" t="str">
        <f aca="false">IF(O58&lt;&gt;"Likely flip","",H58-K58-E58*'Past Flips'!$E$3-H58*'Past Flips'!$E$4)</f>
        <v/>
      </c>
      <c r="R58" s="24" t="str">
        <f aca="false">IF(OR(Q58="",H58=0),"",Q58/H58)</f>
        <v/>
      </c>
    </row>
    <row r="59" customFormat="false" ht="15" hidden="false" customHeight="false" outlineLevel="0" collapsed="false">
      <c r="A59" s="30"/>
      <c r="B59" s="30"/>
      <c r="C59" s="30"/>
      <c r="D59" s="30"/>
      <c r="E59" s="27"/>
      <c r="F59" s="42"/>
      <c r="G59" s="43"/>
      <c r="H59" s="41"/>
      <c r="I59" s="41"/>
      <c r="J59" s="43"/>
      <c r="K59" s="41"/>
      <c r="L59" s="30"/>
      <c r="M59" s="46" t="str">
        <f aca="false">IF(OR(H59="",E59="",E59=0),"",H59/E59)</f>
        <v/>
      </c>
      <c r="N59" s="24" t="str">
        <f aca="false">IF(OR(M59="",I59="",I59=0),"",M59/I59-1)</f>
        <v/>
      </c>
      <c r="O59" s="48" t="str">
        <f aca="false">IF(OR(J59="",K59="",G59="",K59=0),"",IF(AND(G59-J59&lt;=550,H59/K59-1&gt;=0.25),"Likely flip","Not a flip"))</f>
        <v/>
      </c>
      <c r="P59" s="39" t="str">
        <f aca="false">IF(OR(J59="",G59=""),"",(G59-J59)/30.44)</f>
        <v/>
      </c>
      <c r="Q59" s="46" t="str">
        <f aca="false">IF(O59&lt;&gt;"Likely flip","",H59-K59-E59*'Past Flips'!$E$3-H59*'Past Flips'!$E$4)</f>
        <v/>
      </c>
      <c r="R59" s="24" t="str">
        <f aca="false">IF(OR(Q59="",H59=0),"",Q59/H59)</f>
        <v/>
      </c>
    </row>
    <row r="60" customFormat="false" ht="15" hidden="false" customHeight="false" outlineLevel="0" collapsed="false">
      <c r="A60" s="30"/>
      <c r="B60" s="30"/>
      <c r="C60" s="30"/>
      <c r="D60" s="30"/>
      <c r="E60" s="27"/>
      <c r="F60" s="42"/>
      <c r="G60" s="43"/>
      <c r="H60" s="41"/>
      <c r="I60" s="41"/>
      <c r="J60" s="43"/>
      <c r="K60" s="41"/>
      <c r="L60" s="30"/>
      <c r="M60" s="46" t="str">
        <f aca="false">IF(OR(H60="",E60="",E60=0),"",H60/E60)</f>
        <v/>
      </c>
      <c r="N60" s="24" t="str">
        <f aca="false">IF(OR(M60="",I60="",I60=0),"",M60/I60-1)</f>
        <v/>
      </c>
      <c r="O60" s="48" t="str">
        <f aca="false">IF(OR(J60="",K60="",G60="",K60=0),"",IF(AND(G60-J60&lt;=550,H60/K60-1&gt;=0.25),"Likely flip","Not a flip"))</f>
        <v/>
      </c>
      <c r="P60" s="39" t="str">
        <f aca="false">IF(OR(J60="",G60=""),"",(G60-J60)/30.44)</f>
        <v/>
      </c>
      <c r="Q60" s="46" t="str">
        <f aca="false">IF(O60&lt;&gt;"Likely flip","",H60-K60-E60*'Past Flips'!$E$3-H60*'Past Flips'!$E$4)</f>
        <v/>
      </c>
      <c r="R60" s="24" t="str">
        <f aca="false">IF(OR(Q60="",H60=0),"",Q60/H60)</f>
        <v/>
      </c>
    </row>
    <row r="61" customFormat="false" ht="15" hidden="false" customHeight="false" outlineLevel="0" collapsed="false">
      <c r="A61" s="30"/>
      <c r="B61" s="30"/>
      <c r="C61" s="30"/>
      <c r="D61" s="30"/>
      <c r="E61" s="27"/>
      <c r="F61" s="42"/>
      <c r="G61" s="43"/>
      <c r="H61" s="41"/>
      <c r="I61" s="41"/>
      <c r="J61" s="43"/>
      <c r="K61" s="41"/>
      <c r="L61" s="30"/>
      <c r="M61" s="46" t="str">
        <f aca="false">IF(OR(H61="",E61="",E61=0),"",H61/E61)</f>
        <v/>
      </c>
      <c r="N61" s="24" t="str">
        <f aca="false">IF(OR(M61="",I61="",I61=0),"",M61/I61-1)</f>
        <v/>
      </c>
      <c r="O61" s="48" t="str">
        <f aca="false">IF(OR(J61="",K61="",G61="",K61=0),"",IF(AND(G61-J61&lt;=550,H61/K61-1&gt;=0.25),"Likely flip","Not a flip"))</f>
        <v/>
      </c>
      <c r="P61" s="39" t="str">
        <f aca="false">IF(OR(J61="",G61=""),"",(G61-J61)/30.44)</f>
        <v/>
      </c>
      <c r="Q61" s="46" t="str">
        <f aca="false">IF(O61&lt;&gt;"Likely flip","",H61-K61-E61*'Past Flips'!$E$3-H61*'Past Flips'!$E$4)</f>
        <v/>
      </c>
      <c r="R61" s="24" t="str">
        <f aca="false">IF(OR(Q61="",H61=0),"",Q61/H61)</f>
        <v/>
      </c>
    </row>
    <row r="62" customFormat="false" ht="15" hidden="false" customHeight="false" outlineLevel="0" collapsed="false">
      <c r="A62" s="30"/>
      <c r="B62" s="30"/>
      <c r="C62" s="30"/>
      <c r="D62" s="30"/>
      <c r="E62" s="27"/>
      <c r="F62" s="42"/>
      <c r="G62" s="43"/>
      <c r="H62" s="41"/>
      <c r="I62" s="41"/>
      <c r="J62" s="43"/>
      <c r="K62" s="41"/>
      <c r="L62" s="30"/>
      <c r="M62" s="46" t="str">
        <f aca="false">IF(OR(H62="",E62="",E62=0),"",H62/E62)</f>
        <v/>
      </c>
      <c r="N62" s="24" t="str">
        <f aca="false">IF(OR(M62="",I62="",I62=0),"",M62/I62-1)</f>
        <v/>
      </c>
      <c r="O62" s="48" t="str">
        <f aca="false">IF(OR(J62="",K62="",G62="",K62=0),"",IF(AND(G62-J62&lt;=550,H62/K62-1&gt;=0.25),"Likely flip","Not a flip"))</f>
        <v/>
      </c>
      <c r="P62" s="39" t="str">
        <f aca="false">IF(OR(J62="",G62=""),"",(G62-J62)/30.44)</f>
        <v/>
      </c>
      <c r="Q62" s="46" t="str">
        <f aca="false">IF(O62&lt;&gt;"Likely flip","",H62-K62-E62*'Past Flips'!$E$3-H62*'Past Flips'!$E$4)</f>
        <v/>
      </c>
      <c r="R62" s="24" t="str">
        <f aca="false">IF(OR(Q62="",H62=0),"",Q62/H62)</f>
        <v/>
      </c>
    </row>
    <row r="63" customFormat="false" ht="15" hidden="false" customHeight="false" outlineLevel="0" collapsed="false">
      <c r="A63" s="30"/>
      <c r="B63" s="30"/>
      <c r="C63" s="30"/>
      <c r="D63" s="30"/>
      <c r="E63" s="27"/>
      <c r="F63" s="42"/>
      <c r="G63" s="43"/>
      <c r="H63" s="41"/>
      <c r="I63" s="41"/>
      <c r="J63" s="43"/>
      <c r="K63" s="41"/>
      <c r="L63" s="30"/>
      <c r="M63" s="46" t="str">
        <f aca="false">IF(OR(H63="",E63="",E63=0),"",H63/E63)</f>
        <v/>
      </c>
      <c r="N63" s="24" t="str">
        <f aca="false">IF(OR(M63="",I63="",I63=0),"",M63/I63-1)</f>
        <v/>
      </c>
      <c r="O63" s="48" t="str">
        <f aca="false">IF(OR(J63="",K63="",G63="",K63=0),"",IF(AND(G63-J63&lt;=550,H63/K63-1&gt;=0.25),"Likely flip","Not a flip"))</f>
        <v/>
      </c>
      <c r="P63" s="39" t="str">
        <f aca="false">IF(OR(J63="",G63=""),"",(G63-J63)/30.44)</f>
        <v/>
      </c>
      <c r="Q63" s="46" t="str">
        <f aca="false">IF(O63&lt;&gt;"Likely flip","",H63-K63-E63*'Past Flips'!$E$3-H63*'Past Flips'!$E$4)</f>
        <v/>
      </c>
      <c r="R63" s="24" t="str">
        <f aca="false">IF(OR(Q63="",H63=0),"",Q63/H63)</f>
        <v/>
      </c>
    </row>
    <row r="64" customFormat="false" ht="15" hidden="false" customHeight="false" outlineLevel="0" collapsed="false">
      <c r="A64" s="30"/>
      <c r="B64" s="30"/>
      <c r="C64" s="30"/>
      <c r="D64" s="30"/>
      <c r="E64" s="27"/>
      <c r="F64" s="42"/>
      <c r="G64" s="43"/>
      <c r="H64" s="41"/>
      <c r="I64" s="41"/>
      <c r="J64" s="43"/>
      <c r="K64" s="41"/>
      <c r="L64" s="30"/>
      <c r="M64" s="46" t="str">
        <f aca="false">IF(OR(H64="",E64="",E64=0),"",H64/E64)</f>
        <v/>
      </c>
      <c r="N64" s="24" t="str">
        <f aca="false">IF(OR(M64="",I64="",I64=0),"",M64/I64-1)</f>
        <v/>
      </c>
      <c r="O64" s="48" t="str">
        <f aca="false">IF(OR(J64="",K64="",G64="",K64=0),"",IF(AND(G64-J64&lt;=550,H64/K64-1&gt;=0.25),"Likely flip","Not a flip"))</f>
        <v/>
      </c>
      <c r="P64" s="39" t="str">
        <f aca="false">IF(OR(J64="",G64=""),"",(G64-J64)/30.44)</f>
        <v/>
      </c>
      <c r="Q64" s="46" t="str">
        <f aca="false">IF(O64&lt;&gt;"Likely flip","",H64-K64-E64*'Past Flips'!$E$3-H64*'Past Flips'!$E$4)</f>
        <v/>
      </c>
      <c r="R64" s="24" t="str">
        <f aca="false">IF(OR(Q64="",H64=0),"",Q64/H64)</f>
        <v/>
      </c>
    </row>
    <row r="65" customFormat="false" ht="15" hidden="false" customHeight="false" outlineLevel="0" collapsed="false">
      <c r="A65" s="30"/>
      <c r="B65" s="30"/>
      <c r="C65" s="30"/>
      <c r="D65" s="30"/>
      <c r="E65" s="27"/>
      <c r="F65" s="42"/>
      <c r="G65" s="43"/>
      <c r="H65" s="41"/>
      <c r="I65" s="41"/>
      <c r="J65" s="43"/>
      <c r="K65" s="41"/>
      <c r="L65" s="30"/>
      <c r="M65" s="46" t="str">
        <f aca="false">IF(OR(H65="",E65="",E65=0),"",H65/E65)</f>
        <v/>
      </c>
      <c r="N65" s="24" t="str">
        <f aca="false">IF(OR(M65="",I65="",I65=0),"",M65/I65-1)</f>
        <v/>
      </c>
      <c r="O65" s="48" t="str">
        <f aca="false">IF(OR(J65="",K65="",G65="",K65=0),"",IF(AND(G65-J65&lt;=550,H65/K65-1&gt;=0.25),"Likely flip","Not a flip"))</f>
        <v/>
      </c>
      <c r="P65" s="39" t="str">
        <f aca="false">IF(OR(J65="",G65=""),"",(G65-J65)/30.44)</f>
        <v/>
      </c>
      <c r="Q65" s="46" t="str">
        <f aca="false">IF(O65&lt;&gt;"Likely flip","",H65-K65-E65*'Past Flips'!$E$3-H65*'Past Flips'!$E$4)</f>
        <v/>
      </c>
      <c r="R65" s="24" t="str">
        <f aca="false">IF(OR(Q65="",H65=0),"",Q65/H65)</f>
        <v/>
      </c>
    </row>
    <row r="66" customFormat="false" ht="15" hidden="false" customHeight="false" outlineLevel="0" collapsed="false">
      <c r="A66" s="30"/>
      <c r="B66" s="30"/>
      <c r="C66" s="30"/>
      <c r="D66" s="30"/>
      <c r="E66" s="27"/>
      <c r="F66" s="42"/>
      <c r="G66" s="43"/>
      <c r="H66" s="41"/>
      <c r="I66" s="41"/>
      <c r="J66" s="43"/>
      <c r="K66" s="41"/>
      <c r="L66" s="30"/>
      <c r="M66" s="46" t="str">
        <f aca="false">IF(OR(H66="",E66="",E66=0),"",H66/E66)</f>
        <v/>
      </c>
      <c r="N66" s="24" t="str">
        <f aca="false">IF(OR(M66="",I66="",I66=0),"",M66/I66-1)</f>
        <v/>
      </c>
      <c r="O66" s="48" t="str">
        <f aca="false">IF(OR(J66="",K66="",G66="",K66=0),"",IF(AND(G66-J66&lt;=550,H66/K66-1&gt;=0.25),"Likely flip","Not a flip"))</f>
        <v/>
      </c>
      <c r="P66" s="39" t="str">
        <f aca="false">IF(OR(J66="",G66=""),"",(G66-J66)/30.44)</f>
        <v/>
      </c>
      <c r="Q66" s="46" t="str">
        <f aca="false">IF(O66&lt;&gt;"Likely flip","",H66-K66-E66*'Past Flips'!$E$3-H66*'Past Flips'!$E$4)</f>
        <v/>
      </c>
      <c r="R66" s="24" t="str">
        <f aca="false">IF(OR(Q66="",H66=0),"",Q66/H66)</f>
        <v/>
      </c>
    </row>
    <row r="67" customFormat="false" ht="15" hidden="false" customHeight="false" outlineLevel="0" collapsed="false">
      <c r="A67" s="30"/>
      <c r="B67" s="30"/>
      <c r="C67" s="30"/>
      <c r="D67" s="30"/>
      <c r="E67" s="27"/>
      <c r="F67" s="42"/>
      <c r="G67" s="43"/>
      <c r="H67" s="41"/>
      <c r="I67" s="41"/>
      <c r="J67" s="43"/>
      <c r="K67" s="41"/>
      <c r="L67" s="30"/>
      <c r="M67" s="46" t="str">
        <f aca="false">IF(OR(H67="",E67="",E67=0),"",H67/E67)</f>
        <v/>
      </c>
      <c r="N67" s="24" t="str">
        <f aca="false">IF(OR(M67="",I67="",I67=0),"",M67/I67-1)</f>
        <v/>
      </c>
      <c r="O67" s="48" t="str">
        <f aca="false">IF(OR(J67="",K67="",G67="",K67=0),"",IF(AND(G67-J67&lt;=550,H67/K67-1&gt;=0.25),"Likely flip","Not a flip"))</f>
        <v/>
      </c>
      <c r="P67" s="39" t="str">
        <f aca="false">IF(OR(J67="",G67=""),"",(G67-J67)/30.44)</f>
        <v/>
      </c>
      <c r="Q67" s="46" t="str">
        <f aca="false">IF(O67&lt;&gt;"Likely flip","",H67-K67-E67*'Past Flips'!$E$3-H67*'Past Flips'!$E$4)</f>
        <v/>
      </c>
      <c r="R67" s="24" t="str">
        <f aca="false">IF(OR(Q67="",H67=0),"",Q67/H67)</f>
        <v/>
      </c>
    </row>
    <row r="68" customFormat="false" ht="15" hidden="false" customHeight="false" outlineLevel="0" collapsed="false">
      <c r="A68" s="30"/>
      <c r="B68" s="30"/>
      <c r="C68" s="30"/>
      <c r="D68" s="30"/>
      <c r="E68" s="27"/>
      <c r="F68" s="42"/>
      <c r="G68" s="43"/>
      <c r="H68" s="41"/>
      <c r="I68" s="41"/>
      <c r="J68" s="43"/>
      <c r="K68" s="41"/>
      <c r="L68" s="30"/>
      <c r="M68" s="46" t="str">
        <f aca="false">IF(OR(H68="",E68="",E68=0),"",H68/E68)</f>
        <v/>
      </c>
      <c r="N68" s="24" t="str">
        <f aca="false">IF(OR(M68="",I68="",I68=0),"",M68/I68-1)</f>
        <v/>
      </c>
      <c r="O68" s="48" t="str">
        <f aca="false">IF(OR(J68="",K68="",G68="",K68=0),"",IF(AND(G68-J68&lt;=550,H68/K68-1&gt;=0.25),"Likely flip","Not a flip"))</f>
        <v/>
      </c>
      <c r="P68" s="39" t="str">
        <f aca="false">IF(OR(J68="",G68=""),"",(G68-J68)/30.44)</f>
        <v/>
      </c>
      <c r="Q68" s="46" t="str">
        <f aca="false">IF(O68&lt;&gt;"Likely flip","",H68-K68-E68*'Past Flips'!$E$3-H68*'Past Flips'!$E$4)</f>
        <v/>
      </c>
      <c r="R68" s="24" t="str">
        <f aca="false">IF(OR(Q68="",H68=0),"",Q68/H68)</f>
        <v/>
      </c>
    </row>
    <row r="69" customFormat="false" ht="15" hidden="false" customHeight="false" outlineLevel="0" collapsed="false">
      <c r="A69" s="30"/>
      <c r="B69" s="30"/>
      <c r="C69" s="30"/>
      <c r="D69" s="30"/>
      <c r="E69" s="27"/>
      <c r="F69" s="42"/>
      <c r="G69" s="43"/>
      <c r="H69" s="41"/>
      <c r="I69" s="41"/>
      <c r="J69" s="43"/>
      <c r="K69" s="41"/>
      <c r="L69" s="30"/>
      <c r="M69" s="46" t="str">
        <f aca="false">IF(OR(H69="",E69="",E69=0),"",H69/E69)</f>
        <v/>
      </c>
      <c r="N69" s="24" t="str">
        <f aca="false">IF(OR(M69="",I69="",I69=0),"",M69/I69-1)</f>
        <v/>
      </c>
      <c r="O69" s="48" t="str">
        <f aca="false">IF(OR(J69="",K69="",G69="",K69=0),"",IF(AND(G69-J69&lt;=550,H69/K69-1&gt;=0.25),"Likely flip","Not a flip"))</f>
        <v/>
      </c>
      <c r="P69" s="39" t="str">
        <f aca="false">IF(OR(J69="",G69=""),"",(G69-J69)/30.44)</f>
        <v/>
      </c>
      <c r="Q69" s="46" t="str">
        <f aca="false">IF(O69&lt;&gt;"Likely flip","",H69-K69-E69*'Past Flips'!$E$3-H69*'Past Flips'!$E$4)</f>
        <v/>
      </c>
      <c r="R69" s="24" t="str">
        <f aca="false">IF(OR(Q69="",H69=0),"",Q69/H69)</f>
        <v/>
      </c>
    </row>
    <row r="70" customFormat="false" ht="15" hidden="false" customHeight="false" outlineLevel="0" collapsed="false">
      <c r="A70" s="30"/>
      <c r="B70" s="30"/>
      <c r="C70" s="30"/>
      <c r="D70" s="30"/>
      <c r="E70" s="27"/>
      <c r="F70" s="42"/>
      <c r="G70" s="43"/>
      <c r="H70" s="41"/>
      <c r="I70" s="41"/>
      <c r="J70" s="43"/>
      <c r="K70" s="41"/>
      <c r="L70" s="30"/>
      <c r="M70" s="46" t="str">
        <f aca="false">IF(OR(H70="",E70="",E70=0),"",H70/E70)</f>
        <v/>
      </c>
      <c r="N70" s="24" t="str">
        <f aca="false">IF(OR(M70="",I70="",I70=0),"",M70/I70-1)</f>
        <v/>
      </c>
      <c r="O70" s="48" t="str">
        <f aca="false">IF(OR(J70="",K70="",G70="",K70=0),"",IF(AND(G70-J70&lt;=550,H70/K70-1&gt;=0.25),"Likely flip","Not a flip"))</f>
        <v/>
      </c>
      <c r="P70" s="39" t="str">
        <f aca="false">IF(OR(J70="",G70=""),"",(G70-J70)/30.44)</f>
        <v/>
      </c>
      <c r="Q70" s="46" t="str">
        <f aca="false">IF(O70&lt;&gt;"Likely flip","",H70-K70-E70*'Past Flips'!$E$3-H70*'Past Flips'!$E$4)</f>
        <v/>
      </c>
      <c r="R70" s="24" t="str">
        <f aca="false">IF(OR(Q70="",H70=0),"",Q70/H70)</f>
        <v/>
      </c>
    </row>
    <row r="71" customFormat="false" ht="15" hidden="false" customHeight="false" outlineLevel="0" collapsed="false">
      <c r="A71" s="30"/>
      <c r="B71" s="30"/>
      <c r="C71" s="30"/>
      <c r="D71" s="30"/>
      <c r="E71" s="27"/>
      <c r="F71" s="42"/>
      <c r="G71" s="43"/>
      <c r="H71" s="41"/>
      <c r="I71" s="41"/>
      <c r="J71" s="43"/>
      <c r="K71" s="41"/>
      <c r="L71" s="30"/>
      <c r="M71" s="46" t="str">
        <f aca="false">IF(OR(H71="",E71="",E71=0),"",H71/E71)</f>
        <v/>
      </c>
      <c r="N71" s="24" t="str">
        <f aca="false">IF(OR(M71="",I71="",I71=0),"",M71/I71-1)</f>
        <v/>
      </c>
      <c r="O71" s="48" t="str">
        <f aca="false">IF(OR(J71="",K71="",G71="",K71=0),"",IF(AND(G71-J71&lt;=550,H71/K71-1&gt;=0.25),"Likely flip","Not a flip"))</f>
        <v/>
      </c>
      <c r="P71" s="39" t="str">
        <f aca="false">IF(OR(J71="",G71=""),"",(G71-J71)/30.44)</f>
        <v/>
      </c>
      <c r="Q71" s="46" t="str">
        <f aca="false">IF(O71&lt;&gt;"Likely flip","",H71-K71-E71*'Past Flips'!$E$3-H71*'Past Flips'!$E$4)</f>
        <v/>
      </c>
      <c r="R71" s="24" t="str">
        <f aca="false">IF(OR(Q71="",H71=0),"",Q71/H71)</f>
        <v/>
      </c>
    </row>
    <row r="72" customFormat="false" ht="15" hidden="false" customHeight="false" outlineLevel="0" collapsed="false">
      <c r="A72" s="30"/>
      <c r="B72" s="30"/>
      <c r="C72" s="30"/>
      <c r="D72" s="30"/>
      <c r="E72" s="27"/>
      <c r="F72" s="42"/>
      <c r="G72" s="43"/>
      <c r="H72" s="41"/>
      <c r="I72" s="41"/>
      <c r="J72" s="43"/>
      <c r="K72" s="41"/>
      <c r="L72" s="30"/>
      <c r="M72" s="46" t="str">
        <f aca="false">IF(OR(H72="",E72="",E72=0),"",H72/E72)</f>
        <v/>
      </c>
      <c r="N72" s="24" t="str">
        <f aca="false">IF(OR(M72="",I72="",I72=0),"",M72/I72-1)</f>
        <v/>
      </c>
      <c r="O72" s="48" t="str">
        <f aca="false">IF(OR(J72="",K72="",G72="",K72=0),"",IF(AND(G72-J72&lt;=550,H72/K72-1&gt;=0.25),"Likely flip","Not a flip"))</f>
        <v/>
      </c>
      <c r="P72" s="39" t="str">
        <f aca="false">IF(OR(J72="",G72=""),"",(G72-J72)/30.44)</f>
        <v/>
      </c>
      <c r="Q72" s="46" t="str">
        <f aca="false">IF(O72&lt;&gt;"Likely flip","",H72-K72-E72*'Past Flips'!$E$3-H72*'Past Flips'!$E$4)</f>
        <v/>
      </c>
      <c r="R72" s="24" t="str">
        <f aca="false">IF(OR(Q72="",H72=0),"",Q72/H72)</f>
        <v/>
      </c>
    </row>
    <row r="73" customFormat="false" ht="15" hidden="false" customHeight="false" outlineLevel="0" collapsed="false">
      <c r="A73" s="30"/>
      <c r="B73" s="30"/>
      <c r="C73" s="30"/>
      <c r="D73" s="30"/>
      <c r="E73" s="27"/>
      <c r="F73" s="42"/>
      <c r="G73" s="43"/>
      <c r="H73" s="41"/>
      <c r="I73" s="41"/>
      <c r="J73" s="43"/>
      <c r="K73" s="41"/>
      <c r="L73" s="30"/>
      <c r="M73" s="46" t="str">
        <f aca="false">IF(OR(H73="",E73="",E73=0),"",H73/E73)</f>
        <v/>
      </c>
      <c r="N73" s="24" t="str">
        <f aca="false">IF(OR(M73="",I73="",I73=0),"",M73/I73-1)</f>
        <v/>
      </c>
      <c r="O73" s="48" t="str">
        <f aca="false">IF(OR(J73="",K73="",G73="",K73=0),"",IF(AND(G73-J73&lt;=550,H73/K73-1&gt;=0.25),"Likely flip","Not a flip"))</f>
        <v/>
      </c>
      <c r="P73" s="39" t="str">
        <f aca="false">IF(OR(J73="",G73=""),"",(G73-J73)/30.44)</f>
        <v/>
      </c>
      <c r="Q73" s="46" t="str">
        <f aca="false">IF(O73&lt;&gt;"Likely flip","",H73-K73-E73*'Past Flips'!$E$3-H73*'Past Flips'!$E$4)</f>
        <v/>
      </c>
      <c r="R73" s="24" t="str">
        <f aca="false">IF(OR(Q73="",H73=0),"",Q73/H73)</f>
        <v/>
      </c>
    </row>
    <row r="74" customFormat="false" ht="15" hidden="false" customHeight="false" outlineLevel="0" collapsed="false">
      <c r="A74" s="30"/>
      <c r="B74" s="30"/>
      <c r="C74" s="30"/>
      <c r="D74" s="30"/>
      <c r="E74" s="27"/>
      <c r="F74" s="42"/>
      <c r="G74" s="43"/>
      <c r="H74" s="41"/>
      <c r="I74" s="41"/>
      <c r="J74" s="43"/>
      <c r="K74" s="41"/>
      <c r="L74" s="30"/>
      <c r="M74" s="46" t="str">
        <f aca="false">IF(OR(H74="",E74="",E74=0),"",H74/E74)</f>
        <v/>
      </c>
      <c r="N74" s="24" t="str">
        <f aca="false">IF(OR(M74="",I74="",I74=0),"",M74/I74-1)</f>
        <v/>
      </c>
      <c r="O74" s="48" t="str">
        <f aca="false">IF(OR(J74="",K74="",G74="",K74=0),"",IF(AND(G74-J74&lt;=550,H74/K74-1&gt;=0.25),"Likely flip","Not a flip"))</f>
        <v/>
      </c>
      <c r="P74" s="39" t="str">
        <f aca="false">IF(OR(J74="",G74=""),"",(G74-J74)/30.44)</f>
        <v/>
      </c>
      <c r="Q74" s="46" t="str">
        <f aca="false">IF(O74&lt;&gt;"Likely flip","",H74-K74-E74*'Past Flips'!$E$3-H74*'Past Flips'!$E$4)</f>
        <v/>
      </c>
      <c r="R74" s="24" t="str">
        <f aca="false">IF(OR(Q74="",H74=0),"",Q74/H74)</f>
        <v/>
      </c>
    </row>
    <row r="75" customFormat="false" ht="15" hidden="false" customHeight="false" outlineLevel="0" collapsed="false">
      <c r="A75" s="30"/>
      <c r="B75" s="30"/>
      <c r="C75" s="30"/>
      <c r="D75" s="30"/>
      <c r="E75" s="27"/>
      <c r="F75" s="42"/>
      <c r="G75" s="43"/>
      <c r="H75" s="41"/>
      <c r="I75" s="41"/>
      <c r="J75" s="43"/>
      <c r="K75" s="41"/>
      <c r="L75" s="30"/>
      <c r="M75" s="46" t="str">
        <f aca="false">IF(OR(H75="",E75="",E75=0),"",H75/E75)</f>
        <v/>
      </c>
      <c r="N75" s="24" t="str">
        <f aca="false">IF(OR(M75="",I75="",I75=0),"",M75/I75-1)</f>
        <v/>
      </c>
      <c r="O75" s="48" t="str">
        <f aca="false">IF(OR(J75="",K75="",G75="",K75=0),"",IF(AND(G75-J75&lt;=550,H75/K75-1&gt;=0.25),"Likely flip","Not a flip"))</f>
        <v/>
      </c>
      <c r="P75" s="39" t="str">
        <f aca="false">IF(OR(J75="",G75=""),"",(G75-J75)/30.44)</f>
        <v/>
      </c>
      <c r="Q75" s="46" t="str">
        <f aca="false">IF(O75&lt;&gt;"Likely flip","",H75-K75-E75*'Past Flips'!$E$3-H75*'Past Flips'!$E$4)</f>
        <v/>
      </c>
      <c r="R75" s="24" t="str">
        <f aca="false">IF(OR(Q75="",H75=0),"",Q75/H75)</f>
        <v/>
      </c>
    </row>
    <row r="76" customFormat="false" ht="15" hidden="false" customHeight="false" outlineLevel="0" collapsed="false">
      <c r="A76" s="30"/>
      <c r="B76" s="30"/>
      <c r="C76" s="30"/>
      <c r="D76" s="30"/>
      <c r="E76" s="27"/>
      <c r="F76" s="42"/>
      <c r="G76" s="43"/>
      <c r="H76" s="41"/>
      <c r="I76" s="41"/>
      <c r="J76" s="43"/>
      <c r="K76" s="41"/>
      <c r="L76" s="30"/>
      <c r="M76" s="46" t="str">
        <f aca="false">IF(OR(H76="",E76="",E76=0),"",H76/E76)</f>
        <v/>
      </c>
      <c r="N76" s="24" t="str">
        <f aca="false">IF(OR(M76="",I76="",I76=0),"",M76/I76-1)</f>
        <v/>
      </c>
      <c r="O76" s="48" t="str">
        <f aca="false">IF(OR(J76="",K76="",G76="",K76=0),"",IF(AND(G76-J76&lt;=550,H76/K76-1&gt;=0.25),"Likely flip","Not a flip"))</f>
        <v/>
      </c>
      <c r="P76" s="39" t="str">
        <f aca="false">IF(OR(J76="",G76=""),"",(G76-J76)/30.44)</f>
        <v/>
      </c>
      <c r="Q76" s="46" t="str">
        <f aca="false">IF(O76&lt;&gt;"Likely flip","",H76-K76-E76*'Past Flips'!$E$3-H76*'Past Flips'!$E$4)</f>
        <v/>
      </c>
      <c r="R76" s="24" t="str">
        <f aca="false">IF(OR(Q76="",H76=0),"",Q76/H76)</f>
        <v/>
      </c>
    </row>
    <row r="77" customFormat="false" ht="15" hidden="false" customHeight="false" outlineLevel="0" collapsed="false">
      <c r="A77" s="30"/>
      <c r="B77" s="30"/>
      <c r="C77" s="30"/>
      <c r="D77" s="30"/>
      <c r="E77" s="27"/>
      <c r="F77" s="42"/>
      <c r="G77" s="43"/>
      <c r="H77" s="41"/>
      <c r="I77" s="41"/>
      <c r="J77" s="43"/>
      <c r="K77" s="41"/>
      <c r="L77" s="30"/>
      <c r="M77" s="46" t="str">
        <f aca="false">IF(OR(H77="",E77="",E77=0),"",H77/E77)</f>
        <v/>
      </c>
      <c r="N77" s="24" t="str">
        <f aca="false">IF(OR(M77="",I77="",I77=0),"",M77/I77-1)</f>
        <v/>
      </c>
      <c r="O77" s="48" t="str">
        <f aca="false">IF(OR(J77="",K77="",G77="",K77=0),"",IF(AND(G77-J77&lt;=550,H77/K77-1&gt;=0.25),"Likely flip","Not a flip"))</f>
        <v/>
      </c>
      <c r="P77" s="39" t="str">
        <f aca="false">IF(OR(J77="",G77=""),"",(G77-J77)/30.44)</f>
        <v/>
      </c>
      <c r="Q77" s="46" t="str">
        <f aca="false">IF(O77&lt;&gt;"Likely flip","",H77-K77-E77*'Past Flips'!$E$3-H77*'Past Flips'!$E$4)</f>
        <v/>
      </c>
      <c r="R77" s="24" t="str">
        <f aca="false">IF(OR(Q77="",H77=0),"",Q77/H77)</f>
        <v/>
      </c>
    </row>
    <row r="78" customFormat="false" ht="15" hidden="false" customHeight="false" outlineLevel="0" collapsed="false">
      <c r="A78" s="30"/>
      <c r="B78" s="30"/>
      <c r="C78" s="30"/>
      <c r="D78" s="30"/>
      <c r="E78" s="27"/>
      <c r="F78" s="42"/>
      <c r="G78" s="43"/>
      <c r="H78" s="41"/>
      <c r="I78" s="41"/>
      <c r="J78" s="43"/>
      <c r="K78" s="41"/>
      <c r="L78" s="30"/>
      <c r="M78" s="46" t="str">
        <f aca="false">IF(OR(H78="",E78="",E78=0),"",H78/E78)</f>
        <v/>
      </c>
      <c r="N78" s="24" t="str">
        <f aca="false">IF(OR(M78="",I78="",I78=0),"",M78/I78-1)</f>
        <v/>
      </c>
      <c r="O78" s="48" t="str">
        <f aca="false">IF(OR(J78="",K78="",G78="",K78=0),"",IF(AND(G78-J78&lt;=550,H78/K78-1&gt;=0.25),"Likely flip","Not a flip"))</f>
        <v/>
      </c>
      <c r="P78" s="39" t="str">
        <f aca="false">IF(OR(J78="",G78=""),"",(G78-J78)/30.44)</f>
        <v/>
      </c>
      <c r="Q78" s="46" t="str">
        <f aca="false">IF(O78&lt;&gt;"Likely flip","",H78-K78-E78*'Past Flips'!$E$3-H78*'Past Flips'!$E$4)</f>
        <v/>
      </c>
      <c r="R78" s="24" t="str">
        <f aca="false">IF(OR(Q78="",H78=0),"",Q78/H78)</f>
        <v/>
      </c>
    </row>
    <row r="79" customFormat="false" ht="15" hidden="false" customHeight="false" outlineLevel="0" collapsed="false">
      <c r="A79" s="30"/>
      <c r="B79" s="30"/>
      <c r="C79" s="30"/>
      <c r="D79" s="30"/>
      <c r="E79" s="27"/>
      <c r="F79" s="42"/>
      <c r="G79" s="43"/>
      <c r="H79" s="41"/>
      <c r="I79" s="41"/>
      <c r="J79" s="43"/>
      <c r="K79" s="41"/>
      <c r="L79" s="30"/>
      <c r="M79" s="46" t="str">
        <f aca="false">IF(OR(H79="",E79="",E79=0),"",H79/E79)</f>
        <v/>
      </c>
      <c r="N79" s="24" t="str">
        <f aca="false">IF(OR(M79="",I79="",I79=0),"",M79/I79-1)</f>
        <v/>
      </c>
      <c r="O79" s="48" t="str">
        <f aca="false">IF(OR(J79="",K79="",G79="",K79=0),"",IF(AND(G79-J79&lt;=550,H79/K79-1&gt;=0.25),"Likely flip","Not a flip"))</f>
        <v/>
      </c>
      <c r="P79" s="39" t="str">
        <f aca="false">IF(OR(J79="",G79=""),"",(G79-J79)/30.44)</f>
        <v/>
      </c>
      <c r="Q79" s="46" t="str">
        <f aca="false">IF(O79&lt;&gt;"Likely flip","",H79-K79-E79*'Past Flips'!$E$3-H79*'Past Flips'!$E$4)</f>
        <v/>
      </c>
      <c r="R79" s="24" t="str">
        <f aca="false">IF(OR(Q79="",H79=0),"",Q79/H79)</f>
        <v/>
      </c>
    </row>
    <row r="80" customFormat="false" ht="15" hidden="false" customHeight="false" outlineLevel="0" collapsed="false">
      <c r="A80" s="30"/>
      <c r="B80" s="30"/>
      <c r="C80" s="30"/>
      <c r="D80" s="30"/>
      <c r="E80" s="27"/>
      <c r="F80" s="42"/>
      <c r="G80" s="43"/>
      <c r="H80" s="41"/>
      <c r="I80" s="41"/>
      <c r="J80" s="43"/>
      <c r="K80" s="41"/>
      <c r="L80" s="30"/>
      <c r="M80" s="46" t="str">
        <f aca="false">IF(OR(H80="",E80="",E80=0),"",H80/E80)</f>
        <v/>
      </c>
      <c r="N80" s="24" t="str">
        <f aca="false">IF(OR(M80="",I80="",I80=0),"",M80/I80-1)</f>
        <v/>
      </c>
      <c r="O80" s="48" t="str">
        <f aca="false">IF(OR(J80="",K80="",G80="",K80=0),"",IF(AND(G80-J80&lt;=550,H80/K80-1&gt;=0.25),"Likely flip","Not a flip"))</f>
        <v/>
      </c>
      <c r="P80" s="39" t="str">
        <f aca="false">IF(OR(J80="",G80=""),"",(G80-J80)/30.44)</f>
        <v/>
      </c>
      <c r="Q80" s="46" t="str">
        <f aca="false">IF(O80&lt;&gt;"Likely flip","",H80-K80-E80*'Past Flips'!$E$3-H80*'Past Flips'!$E$4)</f>
        <v/>
      </c>
      <c r="R80" s="24" t="str">
        <f aca="false">IF(OR(Q80="",H80=0),"",Q80/H80)</f>
        <v/>
      </c>
    </row>
    <row r="81" customFormat="false" ht="15" hidden="false" customHeight="false" outlineLevel="0" collapsed="false">
      <c r="A81" s="30"/>
      <c r="B81" s="30"/>
      <c r="C81" s="30"/>
      <c r="D81" s="30"/>
      <c r="E81" s="27"/>
      <c r="F81" s="42"/>
      <c r="G81" s="43"/>
      <c r="H81" s="41"/>
      <c r="I81" s="41"/>
      <c r="J81" s="43"/>
      <c r="K81" s="41"/>
      <c r="L81" s="30"/>
      <c r="M81" s="46" t="str">
        <f aca="false">IF(OR(H81="",E81="",E81=0),"",H81/E81)</f>
        <v/>
      </c>
      <c r="N81" s="24" t="str">
        <f aca="false">IF(OR(M81="",I81="",I81=0),"",M81/I81-1)</f>
        <v/>
      </c>
      <c r="O81" s="48" t="str">
        <f aca="false">IF(OR(J81="",K81="",G81="",K81=0),"",IF(AND(G81-J81&lt;=550,H81/K81-1&gt;=0.25),"Likely flip","Not a flip"))</f>
        <v/>
      </c>
      <c r="P81" s="39" t="str">
        <f aca="false">IF(OR(J81="",G81=""),"",(G81-J81)/30.44)</f>
        <v/>
      </c>
      <c r="Q81" s="46" t="str">
        <f aca="false">IF(O81&lt;&gt;"Likely flip","",H81-K81-E81*'Past Flips'!$E$3-H81*'Past Flips'!$E$4)</f>
        <v/>
      </c>
      <c r="R81" s="24" t="str">
        <f aca="false">IF(OR(Q81="",H81=0),"",Q81/H81)</f>
        <v/>
      </c>
    </row>
    <row r="82" customFormat="false" ht="15" hidden="false" customHeight="false" outlineLevel="0" collapsed="false">
      <c r="A82" s="30"/>
      <c r="B82" s="30"/>
      <c r="C82" s="30"/>
      <c r="D82" s="30"/>
      <c r="E82" s="27"/>
      <c r="F82" s="42"/>
      <c r="G82" s="43"/>
      <c r="H82" s="41"/>
      <c r="I82" s="41"/>
      <c r="J82" s="43"/>
      <c r="K82" s="41"/>
      <c r="L82" s="30"/>
      <c r="M82" s="46" t="str">
        <f aca="false">IF(OR(H82="",E82="",E82=0),"",H82/E82)</f>
        <v/>
      </c>
      <c r="N82" s="24" t="str">
        <f aca="false">IF(OR(M82="",I82="",I82=0),"",M82/I82-1)</f>
        <v/>
      </c>
      <c r="O82" s="48" t="str">
        <f aca="false">IF(OR(J82="",K82="",G82="",K82=0),"",IF(AND(G82-J82&lt;=550,H82/K82-1&gt;=0.25),"Likely flip","Not a flip"))</f>
        <v/>
      </c>
      <c r="P82" s="39" t="str">
        <f aca="false">IF(OR(J82="",G82=""),"",(G82-J82)/30.44)</f>
        <v/>
      </c>
      <c r="Q82" s="46" t="str">
        <f aca="false">IF(O82&lt;&gt;"Likely flip","",H82-K82-E82*'Past Flips'!$E$3-H82*'Past Flips'!$E$4)</f>
        <v/>
      </c>
      <c r="R82" s="24" t="str">
        <f aca="false">IF(OR(Q82="",H82=0),"",Q82/H82)</f>
        <v/>
      </c>
    </row>
    <row r="83" customFormat="false" ht="15" hidden="false" customHeight="false" outlineLevel="0" collapsed="false">
      <c r="A83" s="30"/>
      <c r="B83" s="30"/>
      <c r="C83" s="30"/>
      <c r="D83" s="30"/>
      <c r="E83" s="27"/>
      <c r="F83" s="42"/>
      <c r="G83" s="43"/>
      <c r="H83" s="41"/>
      <c r="I83" s="41"/>
      <c r="J83" s="43"/>
      <c r="K83" s="41"/>
      <c r="L83" s="30"/>
      <c r="M83" s="46" t="str">
        <f aca="false">IF(OR(H83="",E83="",E83=0),"",H83/E83)</f>
        <v/>
      </c>
      <c r="N83" s="24" t="str">
        <f aca="false">IF(OR(M83="",I83="",I83=0),"",M83/I83-1)</f>
        <v/>
      </c>
      <c r="O83" s="48" t="str">
        <f aca="false">IF(OR(J83="",K83="",G83="",K83=0),"",IF(AND(G83-J83&lt;=550,H83/K83-1&gt;=0.25),"Likely flip","Not a flip"))</f>
        <v/>
      </c>
      <c r="P83" s="39" t="str">
        <f aca="false">IF(OR(J83="",G83=""),"",(G83-J83)/30.44)</f>
        <v/>
      </c>
      <c r="Q83" s="46" t="str">
        <f aca="false">IF(O83&lt;&gt;"Likely flip","",H83-K83-E83*'Past Flips'!$E$3-H83*'Past Flips'!$E$4)</f>
        <v/>
      </c>
      <c r="R83" s="24" t="str">
        <f aca="false">IF(OR(Q83="",H83=0),"",Q83/H83)</f>
        <v/>
      </c>
    </row>
    <row r="84" customFormat="false" ht="15" hidden="false" customHeight="false" outlineLevel="0" collapsed="false">
      <c r="A84" s="30"/>
      <c r="B84" s="30"/>
      <c r="C84" s="30"/>
      <c r="D84" s="30"/>
      <c r="E84" s="27"/>
      <c r="F84" s="42"/>
      <c r="G84" s="43"/>
      <c r="H84" s="41"/>
      <c r="I84" s="41"/>
      <c r="J84" s="43"/>
      <c r="K84" s="41"/>
      <c r="L84" s="30"/>
      <c r="M84" s="46" t="str">
        <f aca="false">IF(OR(H84="",E84="",E84=0),"",H84/E84)</f>
        <v/>
      </c>
      <c r="N84" s="24" t="str">
        <f aca="false">IF(OR(M84="",I84="",I84=0),"",M84/I84-1)</f>
        <v/>
      </c>
      <c r="O84" s="48" t="str">
        <f aca="false">IF(OR(J84="",K84="",G84="",K84=0),"",IF(AND(G84-J84&lt;=550,H84/K84-1&gt;=0.25),"Likely flip","Not a flip"))</f>
        <v/>
      </c>
      <c r="P84" s="39" t="str">
        <f aca="false">IF(OR(J84="",G84=""),"",(G84-J84)/30.44)</f>
        <v/>
      </c>
      <c r="Q84" s="46" t="str">
        <f aca="false">IF(O84&lt;&gt;"Likely flip","",H84-K84-E84*'Past Flips'!$E$3-H84*'Past Flips'!$E$4)</f>
        <v/>
      </c>
      <c r="R84" s="24" t="str">
        <f aca="false">IF(OR(Q84="",H84=0),"",Q84/H84)</f>
        <v/>
      </c>
    </row>
    <row r="85" customFormat="false" ht="15" hidden="false" customHeight="false" outlineLevel="0" collapsed="false">
      <c r="A85" s="30"/>
      <c r="B85" s="30"/>
      <c r="C85" s="30"/>
      <c r="D85" s="30"/>
      <c r="E85" s="27"/>
      <c r="F85" s="42"/>
      <c r="G85" s="43"/>
      <c r="H85" s="41"/>
      <c r="I85" s="41"/>
      <c r="J85" s="43"/>
      <c r="K85" s="41"/>
      <c r="L85" s="30"/>
      <c r="M85" s="46" t="str">
        <f aca="false">IF(OR(H85="",E85="",E85=0),"",H85/E85)</f>
        <v/>
      </c>
      <c r="N85" s="24" t="str">
        <f aca="false">IF(OR(M85="",I85="",I85=0),"",M85/I85-1)</f>
        <v/>
      </c>
      <c r="O85" s="48" t="str">
        <f aca="false">IF(OR(J85="",K85="",G85="",K85=0),"",IF(AND(G85-J85&lt;=550,H85/K85-1&gt;=0.25),"Likely flip","Not a flip"))</f>
        <v/>
      </c>
      <c r="P85" s="39" t="str">
        <f aca="false">IF(OR(J85="",G85=""),"",(G85-J85)/30.44)</f>
        <v/>
      </c>
      <c r="Q85" s="46" t="str">
        <f aca="false">IF(O85&lt;&gt;"Likely flip","",H85-K85-E85*'Past Flips'!$E$3-H85*'Past Flips'!$E$4)</f>
        <v/>
      </c>
      <c r="R85" s="24" t="str">
        <f aca="false">IF(OR(Q85="",H85=0),"",Q85/H85)</f>
        <v/>
      </c>
    </row>
    <row r="86" customFormat="false" ht="15" hidden="false" customHeight="false" outlineLevel="0" collapsed="false">
      <c r="A86" s="30"/>
      <c r="B86" s="30"/>
      <c r="C86" s="30"/>
      <c r="D86" s="30"/>
      <c r="E86" s="27"/>
      <c r="F86" s="42"/>
      <c r="G86" s="43"/>
      <c r="H86" s="41"/>
      <c r="I86" s="41"/>
      <c r="J86" s="43"/>
      <c r="K86" s="41"/>
      <c r="L86" s="30"/>
      <c r="M86" s="46" t="str">
        <f aca="false">IF(OR(H86="",E86="",E86=0),"",H86/E86)</f>
        <v/>
      </c>
      <c r="N86" s="24" t="str">
        <f aca="false">IF(OR(M86="",I86="",I86=0),"",M86/I86-1)</f>
        <v/>
      </c>
      <c r="O86" s="48" t="str">
        <f aca="false">IF(OR(J86="",K86="",G86="",K86=0),"",IF(AND(G86-J86&lt;=550,H86/K86-1&gt;=0.25),"Likely flip","Not a flip"))</f>
        <v/>
      </c>
      <c r="P86" s="39" t="str">
        <f aca="false">IF(OR(J86="",G86=""),"",(G86-J86)/30.44)</f>
        <v/>
      </c>
      <c r="Q86" s="46" t="str">
        <f aca="false">IF(O86&lt;&gt;"Likely flip","",H86-K86-E86*'Past Flips'!$E$3-H86*'Past Flips'!$E$4)</f>
        <v/>
      </c>
      <c r="R86" s="24" t="str">
        <f aca="false">IF(OR(Q86="",H86=0),"",Q86/H86)</f>
        <v/>
      </c>
    </row>
    <row r="87" customFormat="false" ht="15" hidden="false" customHeight="false" outlineLevel="0" collapsed="false">
      <c r="A87" s="30"/>
      <c r="B87" s="30"/>
      <c r="C87" s="30"/>
      <c r="D87" s="30"/>
      <c r="E87" s="27"/>
      <c r="F87" s="42"/>
      <c r="G87" s="43"/>
      <c r="H87" s="41"/>
      <c r="I87" s="41"/>
      <c r="J87" s="43"/>
      <c r="K87" s="41"/>
      <c r="L87" s="30"/>
      <c r="M87" s="46" t="str">
        <f aca="false">IF(OR(H87="",E87="",E87=0),"",H87/E87)</f>
        <v/>
      </c>
      <c r="N87" s="24" t="str">
        <f aca="false">IF(OR(M87="",I87="",I87=0),"",M87/I87-1)</f>
        <v/>
      </c>
      <c r="O87" s="48" t="str">
        <f aca="false">IF(OR(J87="",K87="",G87="",K87=0),"",IF(AND(G87-J87&lt;=550,H87/K87-1&gt;=0.25),"Likely flip","Not a flip"))</f>
        <v/>
      </c>
      <c r="P87" s="39" t="str">
        <f aca="false">IF(OR(J87="",G87=""),"",(G87-J87)/30.44)</f>
        <v/>
      </c>
      <c r="Q87" s="46" t="str">
        <f aca="false">IF(O87&lt;&gt;"Likely flip","",H87-K87-E87*'Past Flips'!$E$3-H87*'Past Flips'!$E$4)</f>
        <v/>
      </c>
      <c r="R87" s="24" t="str">
        <f aca="false">IF(OR(Q87="",H87=0),"",Q87/H87)</f>
        <v/>
      </c>
    </row>
    <row r="88" customFormat="false" ht="15" hidden="false" customHeight="false" outlineLevel="0" collapsed="false">
      <c r="A88" s="30"/>
      <c r="B88" s="30"/>
      <c r="C88" s="30"/>
      <c r="D88" s="30"/>
      <c r="E88" s="27"/>
      <c r="F88" s="42"/>
      <c r="G88" s="43"/>
      <c r="H88" s="41"/>
      <c r="I88" s="41"/>
      <c r="J88" s="43"/>
      <c r="K88" s="41"/>
      <c r="L88" s="30"/>
      <c r="M88" s="46" t="str">
        <f aca="false">IF(OR(H88="",E88="",E88=0),"",H88/E88)</f>
        <v/>
      </c>
      <c r="N88" s="24" t="str">
        <f aca="false">IF(OR(M88="",I88="",I88=0),"",M88/I88-1)</f>
        <v/>
      </c>
      <c r="O88" s="48" t="str">
        <f aca="false">IF(OR(J88="",K88="",G88="",K88=0),"",IF(AND(G88-J88&lt;=550,H88/K88-1&gt;=0.25),"Likely flip","Not a flip"))</f>
        <v/>
      </c>
      <c r="P88" s="39" t="str">
        <f aca="false">IF(OR(J88="",G88=""),"",(G88-J88)/30.44)</f>
        <v/>
      </c>
      <c r="Q88" s="46" t="str">
        <f aca="false">IF(O88&lt;&gt;"Likely flip","",H88-K88-E88*'Past Flips'!$E$3-H88*'Past Flips'!$E$4)</f>
        <v/>
      </c>
      <c r="R88" s="24" t="str">
        <f aca="false">IF(OR(Q88="",H88=0),"",Q88/H88)</f>
        <v/>
      </c>
    </row>
    <row r="89" customFormat="false" ht="15" hidden="false" customHeight="false" outlineLevel="0" collapsed="false">
      <c r="A89" s="30"/>
      <c r="B89" s="30"/>
      <c r="C89" s="30"/>
      <c r="D89" s="30"/>
      <c r="E89" s="27"/>
      <c r="F89" s="42"/>
      <c r="G89" s="43"/>
      <c r="H89" s="41"/>
      <c r="I89" s="41"/>
      <c r="J89" s="43"/>
      <c r="K89" s="41"/>
      <c r="L89" s="30"/>
      <c r="M89" s="46" t="str">
        <f aca="false">IF(OR(H89="",E89="",E89=0),"",H89/E89)</f>
        <v/>
      </c>
      <c r="N89" s="24" t="str">
        <f aca="false">IF(OR(M89="",I89="",I89=0),"",M89/I89-1)</f>
        <v/>
      </c>
      <c r="O89" s="48" t="str">
        <f aca="false">IF(OR(J89="",K89="",G89="",K89=0),"",IF(AND(G89-J89&lt;=550,H89/K89-1&gt;=0.25),"Likely flip","Not a flip"))</f>
        <v/>
      </c>
      <c r="P89" s="39" t="str">
        <f aca="false">IF(OR(J89="",G89=""),"",(G89-J89)/30.44)</f>
        <v/>
      </c>
      <c r="Q89" s="46" t="str">
        <f aca="false">IF(O89&lt;&gt;"Likely flip","",H89-K89-E89*'Past Flips'!$E$3-H89*'Past Flips'!$E$4)</f>
        <v/>
      </c>
      <c r="R89" s="24" t="str">
        <f aca="false">IF(OR(Q89="",H89=0),"",Q89/H89)</f>
        <v/>
      </c>
    </row>
    <row r="90" customFormat="false" ht="15" hidden="false" customHeight="false" outlineLevel="0" collapsed="false">
      <c r="A90" s="30"/>
      <c r="B90" s="30"/>
      <c r="C90" s="30"/>
      <c r="D90" s="30"/>
      <c r="E90" s="27"/>
      <c r="F90" s="42"/>
      <c r="G90" s="43"/>
      <c r="H90" s="41"/>
      <c r="I90" s="41"/>
      <c r="J90" s="43"/>
      <c r="K90" s="41"/>
      <c r="L90" s="30"/>
      <c r="M90" s="46" t="str">
        <f aca="false">IF(OR(H90="",E90="",E90=0),"",H90/E90)</f>
        <v/>
      </c>
      <c r="N90" s="24" t="str">
        <f aca="false">IF(OR(M90="",I90="",I90=0),"",M90/I90-1)</f>
        <v/>
      </c>
      <c r="O90" s="48" t="str">
        <f aca="false">IF(OR(J90="",K90="",G90="",K90=0),"",IF(AND(G90-J90&lt;=550,H90/K90-1&gt;=0.25),"Likely flip","Not a flip"))</f>
        <v/>
      </c>
      <c r="P90" s="39" t="str">
        <f aca="false">IF(OR(J90="",G90=""),"",(G90-J90)/30.44)</f>
        <v/>
      </c>
      <c r="Q90" s="46" t="str">
        <f aca="false">IF(O90&lt;&gt;"Likely flip","",H90-K90-E90*'Past Flips'!$E$3-H90*'Past Flips'!$E$4)</f>
        <v/>
      </c>
      <c r="R90" s="24" t="str">
        <f aca="false">IF(OR(Q90="",H90=0),"",Q90/H90)</f>
        <v/>
      </c>
    </row>
    <row r="91" customFormat="false" ht="15" hidden="false" customHeight="false" outlineLevel="0" collapsed="false">
      <c r="A91" s="30"/>
      <c r="B91" s="30"/>
      <c r="C91" s="30"/>
      <c r="D91" s="30"/>
      <c r="E91" s="27"/>
      <c r="F91" s="42"/>
      <c r="G91" s="43"/>
      <c r="H91" s="41"/>
      <c r="I91" s="41"/>
      <c r="J91" s="43"/>
      <c r="K91" s="41"/>
      <c r="L91" s="30"/>
      <c r="M91" s="46" t="str">
        <f aca="false">IF(OR(H91="",E91="",E91=0),"",H91/E91)</f>
        <v/>
      </c>
      <c r="N91" s="24" t="str">
        <f aca="false">IF(OR(M91="",I91="",I91=0),"",M91/I91-1)</f>
        <v/>
      </c>
      <c r="O91" s="48" t="str">
        <f aca="false">IF(OR(J91="",K91="",G91="",K91=0),"",IF(AND(G91-J91&lt;=550,H91/K91-1&gt;=0.25),"Likely flip","Not a flip"))</f>
        <v/>
      </c>
      <c r="P91" s="39" t="str">
        <f aca="false">IF(OR(J91="",G91=""),"",(G91-J91)/30.44)</f>
        <v/>
      </c>
      <c r="Q91" s="46" t="str">
        <f aca="false">IF(O91&lt;&gt;"Likely flip","",H91-K91-E91*'Past Flips'!$E$3-H91*'Past Flips'!$E$4)</f>
        <v/>
      </c>
      <c r="R91" s="24" t="str">
        <f aca="false">IF(OR(Q91="",H91=0),"",Q91/H91)</f>
        <v/>
      </c>
    </row>
    <row r="92" customFormat="false" ht="15" hidden="false" customHeight="false" outlineLevel="0" collapsed="false">
      <c r="A92" s="30"/>
      <c r="B92" s="30"/>
      <c r="C92" s="30"/>
      <c r="D92" s="30"/>
      <c r="E92" s="27"/>
      <c r="F92" s="42"/>
      <c r="G92" s="43"/>
      <c r="H92" s="41"/>
      <c r="I92" s="41"/>
      <c r="J92" s="43"/>
      <c r="K92" s="41"/>
      <c r="L92" s="30"/>
      <c r="M92" s="46" t="str">
        <f aca="false">IF(OR(H92="",E92="",E92=0),"",H92/E92)</f>
        <v/>
      </c>
      <c r="N92" s="24" t="str">
        <f aca="false">IF(OR(M92="",I92="",I92=0),"",M92/I92-1)</f>
        <v/>
      </c>
      <c r="O92" s="48" t="str">
        <f aca="false">IF(OR(J92="",K92="",G92="",K92=0),"",IF(AND(G92-J92&lt;=550,H92/K92-1&gt;=0.25),"Likely flip","Not a flip"))</f>
        <v/>
      </c>
      <c r="P92" s="39" t="str">
        <f aca="false">IF(OR(J92="",G92=""),"",(G92-J92)/30.44)</f>
        <v/>
      </c>
      <c r="Q92" s="46" t="str">
        <f aca="false">IF(O92&lt;&gt;"Likely flip","",H92-K92-E92*'Past Flips'!$E$3-H92*'Past Flips'!$E$4)</f>
        <v/>
      </c>
      <c r="R92" s="24" t="str">
        <f aca="false">IF(OR(Q92="",H92=0),"",Q92/H92)</f>
        <v/>
      </c>
    </row>
    <row r="93" customFormat="false" ht="15" hidden="false" customHeight="false" outlineLevel="0" collapsed="false">
      <c r="A93" s="30"/>
      <c r="B93" s="30"/>
      <c r="C93" s="30"/>
      <c r="D93" s="30"/>
      <c r="E93" s="27"/>
      <c r="F93" s="42"/>
      <c r="G93" s="43"/>
      <c r="H93" s="41"/>
      <c r="I93" s="41"/>
      <c r="J93" s="43"/>
      <c r="K93" s="41"/>
      <c r="L93" s="30"/>
      <c r="M93" s="46" t="str">
        <f aca="false">IF(OR(H93="",E93="",E93=0),"",H93/E93)</f>
        <v/>
      </c>
      <c r="N93" s="24" t="str">
        <f aca="false">IF(OR(M93="",I93="",I93=0),"",M93/I93-1)</f>
        <v/>
      </c>
      <c r="O93" s="48" t="str">
        <f aca="false">IF(OR(J93="",K93="",G93="",K93=0),"",IF(AND(G93-J93&lt;=550,H93/K93-1&gt;=0.25),"Likely flip","Not a flip"))</f>
        <v/>
      </c>
      <c r="P93" s="39" t="str">
        <f aca="false">IF(OR(J93="",G93=""),"",(G93-J93)/30.44)</f>
        <v/>
      </c>
      <c r="Q93" s="46" t="str">
        <f aca="false">IF(O93&lt;&gt;"Likely flip","",H93-K93-E93*'Past Flips'!$E$3-H93*'Past Flips'!$E$4)</f>
        <v/>
      </c>
      <c r="R93" s="24" t="str">
        <f aca="false">IF(OR(Q93="",H93=0),"",Q93/H93)</f>
        <v/>
      </c>
    </row>
    <row r="94" customFormat="false" ht="15" hidden="false" customHeight="false" outlineLevel="0" collapsed="false">
      <c r="A94" s="30"/>
      <c r="B94" s="30"/>
      <c r="C94" s="30"/>
      <c r="D94" s="30"/>
      <c r="E94" s="27"/>
      <c r="F94" s="42"/>
      <c r="G94" s="43"/>
      <c r="H94" s="41"/>
      <c r="I94" s="41"/>
      <c r="J94" s="43"/>
      <c r="K94" s="41"/>
      <c r="L94" s="30"/>
      <c r="M94" s="46" t="str">
        <f aca="false">IF(OR(H94="",E94="",E94=0),"",H94/E94)</f>
        <v/>
      </c>
      <c r="N94" s="24" t="str">
        <f aca="false">IF(OR(M94="",I94="",I94=0),"",M94/I94-1)</f>
        <v/>
      </c>
      <c r="O94" s="48" t="str">
        <f aca="false">IF(OR(J94="",K94="",G94="",K94=0),"",IF(AND(G94-J94&lt;=550,H94/K94-1&gt;=0.25),"Likely flip","Not a flip"))</f>
        <v/>
      </c>
      <c r="P94" s="39" t="str">
        <f aca="false">IF(OR(J94="",G94=""),"",(G94-J94)/30.44)</f>
        <v/>
      </c>
      <c r="Q94" s="46" t="str">
        <f aca="false">IF(O94&lt;&gt;"Likely flip","",H94-K94-E94*'Past Flips'!$E$3-H94*'Past Flips'!$E$4)</f>
        <v/>
      </c>
      <c r="R94" s="24" t="str">
        <f aca="false">IF(OR(Q94="",H94=0),"",Q94/H94)</f>
        <v/>
      </c>
    </row>
    <row r="95" customFormat="false" ht="15" hidden="false" customHeight="false" outlineLevel="0" collapsed="false">
      <c r="A95" s="30"/>
      <c r="B95" s="30"/>
      <c r="C95" s="30"/>
      <c r="D95" s="30"/>
      <c r="E95" s="27"/>
      <c r="F95" s="42"/>
      <c r="G95" s="43"/>
      <c r="H95" s="41"/>
      <c r="I95" s="41"/>
      <c r="J95" s="43"/>
      <c r="K95" s="41"/>
      <c r="L95" s="30"/>
      <c r="M95" s="46" t="str">
        <f aca="false">IF(OR(H95="",E95="",E95=0),"",H95/E95)</f>
        <v/>
      </c>
      <c r="N95" s="24" t="str">
        <f aca="false">IF(OR(M95="",I95="",I95=0),"",M95/I95-1)</f>
        <v/>
      </c>
      <c r="O95" s="48" t="str">
        <f aca="false">IF(OR(J95="",K95="",G95="",K95=0),"",IF(AND(G95-J95&lt;=550,H95/K95-1&gt;=0.25),"Likely flip","Not a flip"))</f>
        <v/>
      </c>
      <c r="P95" s="39" t="str">
        <f aca="false">IF(OR(J95="",G95=""),"",(G95-J95)/30.44)</f>
        <v/>
      </c>
      <c r="Q95" s="46" t="str">
        <f aca="false">IF(O95&lt;&gt;"Likely flip","",H95-K95-E95*'Past Flips'!$E$3-H95*'Past Flips'!$E$4)</f>
        <v/>
      </c>
      <c r="R95" s="24" t="str">
        <f aca="false">IF(OR(Q95="",H95=0),"",Q95/H95)</f>
        <v/>
      </c>
    </row>
    <row r="96" customFormat="false" ht="15" hidden="false" customHeight="false" outlineLevel="0" collapsed="false">
      <c r="A96" s="30"/>
      <c r="B96" s="30"/>
      <c r="C96" s="30"/>
      <c r="D96" s="30"/>
      <c r="E96" s="27"/>
      <c r="F96" s="42"/>
      <c r="G96" s="43"/>
      <c r="H96" s="41"/>
      <c r="I96" s="41"/>
      <c r="J96" s="43"/>
      <c r="K96" s="41"/>
      <c r="L96" s="30"/>
      <c r="M96" s="46" t="str">
        <f aca="false">IF(OR(H96="",E96="",E96=0),"",H96/E96)</f>
        <v/>
      </c>
      <c r="N96" s="24" t="str">
        <f aca="false">IF(OR(M96="",I96="",I96=0),"",M96/I96-1)</f>
        <v/>
      </c>
      <c r="O96" s="48" t="str">
        <f aca="false">IF(OR(J96="",K96="",G96="",K96=0),"",IF(AND(G96-J96&lt;=550,H96/K96-1&gt;=0.25),"Likely flip","Not a flip"))</f>
        <v/>
      </c>
      <c r="P96" s="39" t="str">
        <f aca="false">IF(OR(J96="",G96=""),"",(G96-J96)/30.44)</f>
        <v/>
      </c>
      <c r="Q96" s="46" t="str">
        <f aca="false">IF(O96&lt;&gt;"Likely flip","",H96-K96-E96*'Past Flips'!$E$3-H96*'Past Flips'!$E$4)</f>
        <v/>
      </c>
      <c r="R96" s="24" t="str">
        <f aca="false">IF(OR(Q96="",H96=0),"",Q96/H96)</f>
        <v/>
      </c>
    </row>
    <row r="97" customFormat="false" ht="15" hidden="false" customHeight="false" outlineLevel="0" collapsed="false">
      <c r="A97" s="30"/>
      <c r="B97" s="30"/>
      <c r="C97" s="30"/>
      <c r="D97" s="30"/>
      <c r="E97" s="27"/>
      <c r="F97" s="42"/>
      <c r="G97" s="43"/>
      <c r="H97" s="41"/>
      <c r="I97" s="41"/>
      <c r="J97" s="43"/>
      <c r="K97" s="41"/>
      <c r="L97" s="30"/>
      <c r="M97" s="46" t="str">
        <f aca="false">IF(OR(H97="",E97="",E97=0),"",H97/E97)</f>
        <v/>
      </c>
      <c r="N97" s="24" t="str">
        <f aca="false">IF(OR(M97="",I97="",I97=0),"",M97/I97-1)</f>
        <v/>
      </c>
      <c r="O97" s="48" t="str">
        <f aca="false">IF(OR(J97="",K97="",G97="",K97=0),"",IF(AND(G97-J97&lt;=550,H97/K97-1&gt;=0.25),"Likely flip","Not a flip"))</f>
        <v/>
      </c>
      <c r="P97" s="39" t="str">
        <f aca="false">IF(OR(J97="",G97=""),"",(G97-J97)/30.44)</f>
        <v/>
      </c>
      <c r="Q97" s="46" t="str">
        <f aca="false">IF(O97&lt;&gt;"Likely flip","",H97-K97-E97*'Past Flips'!$E$3-H97*'Past Flips'!$E$4)</f>
        <v/>
      </c>
      <c r="R97" s="24" t="str">
        <f aca="false">IF(OR(Q97="",H97=0),"",Q97/H97)</f>
        <v/>
      </c>
    </row>
    <row r="98" customFormat="false" ht="15" hidden="false" customHeight="false" outlineLevel="0" collapsed="false">
      <c r="A98" s="30"/>
      <c r="B98" s="30"/>
      <c r="C98" s="30"/>
      <c r="D98" s="30"/>
      <c r="E98" s="27"/>
      <c r="F98" s="42"/>
      <c r="G98" s="43"/>
      <c r="H98" s="41"/>
      <c r="I98" s="41"/>
      <c r="J98" s="43"/>
      <c r="K98" s="41"/>
      <c r="L98" s="30"/>
      <c r="M98" s="46" t="str">
        <f aca="false">IF(OR(H98="",E98="",E98=0),"",H98/E98)</f>
        <v/>
      </c>
      <c r="N98" s="24" t="str">
        <f aca="false">IF(OR(M98="",I98="",I98=0),"",M98/I98-1)</f>
        <v/>
      </c>
      <c r="O98" s="48" t="str">
        <f aca="false">IF(OR(J98="",K98="",G98="",K98=0),"",IF(AND(G98-J98&lt;=550,H98/K98-1&gt;=0.25),"Likely flip","Not a flip"))</f>
        <v/>
      </c>
      <c r="P98" s="39" t="str">
        <f aca="false">IF(OR(J98="",G98=""),"",(G98-J98)/30.44)</f>
        <v/>
      </c>
      <c r="Q98" s="46" t="str">
        <f aca="false">IF(O98&lt;&gt;"Likely flip","",H98-K98-E98*'Past Flips'!$E$3-H98*'Past Flips'!$E$4)</f>
        <v/>
      </c>
      <c r="R98" s="24" t="str">
        <f aca="false">IF(OR(Q98="",H98=0),"",Q98/H98)</f>
        <v/>
      </c>
    </row>
    <row r="99" customFormat="false" ht="15" hidden="false" customHeight="false" outlineLevel="0" collapsed="false">
      <c r="A99" s="30"/>
      <c r="B99" s="30"/>
      <c r="C99" s="30"/>
      <c r="D99" s="30"/>
      <c r="E99" s="27"/>
      <c r="F99" s="42"/>
      <c r="G99" s="43"/>
      <c r="H99" s="41"/>
      <c r="I99" s="41"/>
      <c r="J99" s="43"/>
      <c r="K99" s="41"/>
      <c r="L99" s="30"/>
      <c r="M99" s="46" t="str">
        <f aca="false">IF(OR(H99="",E99="",E99=0),"",H99/E99)</f>
        <v/>
      </c>
      <c r="N99" s="24" t="str">
        <f aca="false">IF(OR(M99="",I99="",I99=0),"",M99/I99-1)</f>
        <v/>
      </c>
      <c r="O99" s="48" t="str">
        <f aca="false">IF(OR(J99="",K99="",G99="",K99=0),"",IF(AND(G99-J99&lt;=550,H99/K99-1&gt;=0.25),"Likely flip","Not a flip"))</f>
        <v/>
      </c>
      <c r="P99" s="39" t="str">
        <f aca="false">IF(OR(J99="",G99=""),"",(G99-J99)/30.44)</f>
        <v/>
      </c>
      <c r="Q99" s="46" t="str">
        <f aca="false">IF(O99&lt;&gt;"Likely flip","",H99-K99-E99*'Past Flips'!$E$3-H99*'Past Flips'!$E$4)</f>
        <v/>
      </c>
      <c r="R99" s="24" t="str">
        <f aca="false">IF(OR(Q99="",H99=0),"",Q99/H99)</f>
        <v/>
      </c>
    </row>
    <row r="100" customFormat="false" ht="15" hidden="false" customHeight="false" outlineLevel="0" collapsed="false">
      <c r="A100" s="30"/>
      <c r="B100" s="30"/>
      <c r="C100" s="30"/>
      <c r="D100" s="30"/>
      <c r="E100" s="27"/>
      <c r="F100" s="42"/>
      <c r="G100" s="43"/>
      <c r="H100" s="41"/>
      <c r="I100" s="41"/>
      <c r="J100" s="43"/>
      <c r="K100" s="41"/>
      <c r="L100" s="30"/>
      <c r="M100" s="46" t="str">
        <f aca="false">IF(OR(H100="",E100="",E100=0),"",H100/E100)</f>
        <v/>
      </c>
      <c r="N100" s="24" t="str">
        <f aca="false">IF(OR(M100="",I100="",I100=0),"",M100/I100-1)</f>
        <v/>
      </c>
      <c r="O100" s="48" t="str">
        <f aca="false">IF(OR(J100="",K100="",G100="",K100=0),"",IF(AND(G100-J100&lt;=550,H100/K100-1&gt;=0.25),"Likely flip","Not a flip"))</f>
        <v/>
      </c>
      <c r="P100" s="39" t="str">
        <f aca="false">IF(OR(J100="",G100=""),"",(G100-J100)/30.44)</f>
        <v/>
      </c>
      <c r="Q100" s="46" t="str">
        <f aca="false">IF(O100&lt;&gt;"Likely flip","",H100-K100-E100*'Past Flips'!$E$3-H100*'Past Flips'!$E$4)</f>
        <v/>
      </c>
      <c r="R100" s="24" t="str">
        <f aca="false">IF(OR(Q100="",H100=0),"",Q100/H100)</f>
        <v/>
      </c>
    </row>
    <row r="101" customFormat="false" ht="15" hidden="false" customHeight="false" outlineLevel="0" collapsed="false">
      <c r="A101" s="30"/>
      <c r="B101" s="30"/>
      <c r="C101" s="30"/>
      <c r="D101" s="30"/>
      <c r="E101" s="27"/>
      <c r="F101" s="42"/>
      <c r="G101" s="43"/>
      <c r="H101" s="41"/>
      <c r="I101" s="41"/>
      <c r="J101" s="43"/>
      <c r="K101" s="41"/>
      <c r="L101" s="30"/>
      <c r="M101" s="46" t="str">
        <f aca="false">IF(OR(H101="",E101="",E101=0),"",H101/E101)</f>
        <v/>
      </c>
      <c r="N101" s="24" t="str">
        <f aca="false">IF(OR(M101="",I101="",I101=0),"",M101/I101-1)</f>
        <v/>
      </c>
      <c r="O101" s="48" t="str">
        <f aca="false">IF(OR(J101="",K101="",G101="",K101=0),"",IF(AND(G101-J101&lt;=550,H101/K101-1&gt;=0.25),"Likely flip","Not a flip"))</f>
        <v/>
      </c>
      <c r="P101" s="39" t="str">
        <f aca="false">IF(OR(J101="",G101=""),"",(G101-J101)/30.44)</f>
        <v/>
      </c>
      <c r="Q101" s="46" t="str">
        <f aca="false">IF(O101&lt;&gt;"Likely flip","",H101-K101-E101*'Past Flips'!$E$3-H101*'Past Flips'!$E$4)</f>
        <v/>
      </c>
      <c r="R101" s="24" t="str">
        <f aca="false">IF(OR(Q101="",H101=0),"",Q101/H101)</f>
        <v/>
      </c>
    </row>
    <row r="102" customFormat="false" ht="15" hidden="false" customHeight="false" outlineLevel="0" collapsed="false">
      <c r="A102" s="30"/>
      <c r="B102" s="30"/>
      <c r="C102" s="30"/>
      <c r="D102" s="30"/>
      <c r="E102" s="27"/>
      <c r="F102" s="42"/>
      <c r="G102" s="43"/>
      <c r="H102" s="41"/>
      <c r="I102" s="41"/>
      <c r="J102" s="43"/>
      <c r="K102" s="41"/>
      <c r="L102" s="30"/>
      <c r="M102" s="46" t="str">
        <f aca="false">IF(OR(H102="",E102="",E102=0),"",H102/E102)</f>
        <v/>
      </c>
      <c r="N102" s="24" t="str">
        <f aca="false">IF(OR(M102="",I102="",I102=0),"",M102/I102-1)</f>
        <v/>
      </c>
      <c r="O102" s="48" t="str">
        <f aca="false">IF(OR(J102="",K102="",G102="",K102=0),"",IF(AND(G102-J102&lt;=550,H102/K102-1&gt;=0.25),"Likely flip","Not a flip"))</f>
        <v/>
      </c>
      <c r="P102" s="39" t="str">
        <f aca="false">IF(OR(J102="",G102=""),"",(G102-J102)/30.44)</f>
        <v/>
      </c>
      <c r="Q102" s="46" t="str">
        <f aca="false">IF(O102&lt;&gt;"Likely flip","",H102-K102-E102*'Past Flips'!$E$3-H102*'Past Flips'!$E$4)</f>
        <v/>
      </c>
      <c r="R102" s="24" t="str">
        <f aca="false">IF(OR(Q102="",H102=0),"",Q102/H102)</f>
        <v/>
      </c>
    </row>
    <row r="103" customFormat="false" ht="15" hidden="false" customHeight="false" outlineLevel="0" collapsed="false">
      <c r="A103" s="30"/>
      <c r="B103" s="30"/>
      <c r="C103" s="30"/>
      <c r="D103" s="30"/>
      <c r="E103" s="27"/>
      <c r="F103" s="42"/>
      <c r="G103" s="43"/>
      <c r="H103" s="41"/>
      <c r="I103" s="41"/>
      <c r="J103" s="43"/>
      <c r="K103" s="41"/>
      <c r="L103" s="30"/>
      <c r="M103" s="46" t="str">
        <f aca="false">IF(OR(H103="",E103="",E103=0),"",H103/E103)</f>
        <v/>
      </c>
      <c r="N103" s="24" t="str">
        <f aca="false">IF(OR(M103="",I103="",I103=0),"",M103/I103-1)</f>
        <v/>
      </c>
      <c r="O103" s="48" t="str">
        <f aca="false">IF(OR(J103="",K103="",G103="",K103=0),"",IF(AND(G103-J103&lt;=550,H103/K103-1&gt;=0.25),"Likely flip","Not a flip"))</f>
        <v/>
      </c>
      <c r="P103" s="39" t="str">
        <f aca="false">IF(OR(J103="",G103=""),"",(G103-J103)/30.44)</f>
        <v/>
      </c>
      <c r="Q103" s="46" t="str">
        <f aca="false">IF(O103&lt;&gt;"Likely flip","",H103-K103-E103*'Past Flips'!$E$3-H103*'Past Flips'!$E$4)</f>
        <v/>
      </c>
      <c r="R103" s="24" t="str">
        <f aca="false">IF(OR(Q103="",H103=0),"",Q103/H103)</f>
        <v/>
      </c>
    </row>
    <row r="104" customFormat="false" ht="15" hidden="false" customHeight="false" outlineLevel="0" collapsed="false">
      <c r="A104" s="30"/>
      <c r="B104" s="30"/>
      <c r="C104" s="30"/>
      <c r="D104" s="30"/>
      <c r="E104" s="27"/>
      <c r="F104" s="42"/>
      <c r="G104" s="43"/>
      <c r="H104" s="41"/>
      <c r="I104" s="41"/>
      <c r="J104" s="43"/>
      <c r="K104" s="41"/>
      <c r="L104" s="30"/>
      <c r="M104" s="46" t="str">
        <f aca="false">IF(OR(H104="",E104="",E104=0),"",H104/E104)</f>
        <v/>
      </c>
      <c r="N104" s="24" t="str">
        <f aca="false">IF(OR(M104="",I104="",I104=0),"",M104/I104-1)</f>
        <v/>
      </c>
      <c r="O104" s="48" t="str">
        <f aca="false">IF(OR(J104="",K104="",G104="",K104=0),"",IF(AND(G104-J104&lt;=550,H104/K104-1&gt;=0.25),"Likely flip","Not a flip"))</f>
        <v/>
      </c>
      <c r="P104" s="39" t="str">
        <f aca="false">IF(OR(J104="",G104=""),"",(G104-J104)/30.44)</f>
        <v/>
      </c>
      <c r="Q104" s="46" t="str">
        <f aca="false">IF(O104&lt;&gt;"Likely flip","",H104-K104-E104*'Past Flips'!$E$3-H104*'Past Flips'!$E$4)</f>
        <v/>
      </c>
      <c r="R104" s="24" t="str">
        <f aca="false">IF(OR(Q104="",H104=0),"",Q104/H104)</f>
        <v/>
      </c>
    </row>
    <row r="105" customFormat="false" ht="15" hidden="false" customHeight="false" outlineLevel="0" collapsed="false">
      <c r="A105" s="30"/>
      <c r="B105" s="30"/>
      <c r="C105" s="30"/>
      <c r="D105" s="30"/>
      <c r="E105" s="27"/>
      <c r="F105" s="42"/>
      <c r="G105" s="43"/>
      <c r="H105" s="41"/>
      <c r="I105" s="41"/>
      <c r="J105" s="43"/>
      <c r="K105" s="41"/>
      <c r="L105" s="30"/>
      <c r="M105" s="46" t="str">
        <f aca="false">IF(OR(H105="",E105="",E105=0),"",H105/E105)</f>
        <v/>
      </c>
      <c r="N105" s="24" t="str">
        <f aca="false">IF(OR(M105="",I105="",I105=0),"",M105/I105-1)</f>
        <v/>
      </c>
      <c r="O105" s="48" t="str">
        <f aca="false">IF(OR(J105="",K105="",G105="",K105=0),"",IF(AND(G105-J105&lt;=550,H105/K105-1&gt;=0.25),"Likely flip","Not a flip"))</f>
        <v/>
      </c>
      <c r="P105" s="39" t="str">
        <f aca="false">IF(OR(J105="",G105=""),"",(G105-J105)/30.44)</f>
        <v/>
      </c>
      <c r="Q105" s="46" t="str">
        <f aca="false">IF(O105&lt;&gt;"Likely flip","",H105-K105-E105*'Past Flips'!$E$3-H105*'Past Flips'!$E$4)</f>
        <v/>
      </c>
      <c r="R105" s="24" t="str">
        <f aca="false">IF(OR(Q105="",H105=0),"",Q105/H105)</f>
        <v/>
      </c>
    </row>
    <row r="106" customFormat="false" ht="15" hidden="false" customHeight="false" outlineLevel="0" collapsed="false">
      <c r="A106" s="30"/>
      <c r="B106" s="30"/>
      <c r="C106" s="30"/>
      <c r="D106" s="30"/>
      <c r="E106" s="27"/>
      <c r="F106" s="42"/>
      <c r="G106" s="43"/>
      <c r="H106" s="41"/>
      <c r="I106" s="41"/>
      <c r="J106" s="43"/>
      <c r="K106" s="41"/>
      <c r="L106" s="30"/>
      <c r="M106" s="46" t="str">
        <f aca="false">IF(OR(H106="",E106="",E106=0),"",H106/E106)</f>
        <v/>
      </c>
      <c r="N106" s="24" t="str">
        <f aca="false">IF(OR(M106="",I106="",I106=0),"",M106/I106-1)</f>
        <v/>
      </c>
      <c r="O106" s="48" t="str">
        <f aca="false">IF(OR(J106="",K106="",G106="",K106=0),"",IF(AND(G106-J106&lt;=550,H106/K106-1&gt;=0.25),"Likely flip","Not a flip"))</f>
        <v/>
      </c>
      <c r="P106" s="39" t="str">
        <f aca="false">IF(OR(J106="",G106=""),"",(G106-J106)/30.44)</f>
        <v/>
      </c>
      <c r="Q106" s="46" t="str">
        <f aca="false">IF(O106&lt;&gt;"Likely flip","",H106-K106-E106*'Past Flips'!$E$3-H106*'Past Flips'!$E$4)</f>
        <v/>
      </c>
      <c r="R106" s="24" t="str">
        <f aca="false">IF(OR(Q106="",H106=0),"",Q106/H106)</f>
        <v/>
      </c>
    </row>
    <row r="107" customFormat="false" ht="15" hidden="false" customHeight="false" outlineLevel="0" collapsed="false">
      <c r="A107" s="30"/>
      <c r="B107" s="30"/>
      <c r="C107" s="30"/>
      <c r="D107" s="30"/>
      <c r="E107" s="27"/>
      <c r="F107" s="42"/>
      <c r="G107" s="43"/>
      <c r="H107" s="41"/>
      <c r="I107" s="41"/>
      <c r="J107" s="43"/>
      <c r="K107" s="41"/>
      <c r="L107" s="30"/>
      <c r="M107" s="46" t="str">
        <f aca="false">IF(OR(H107="",E107="",E107=0),"",H107/E107)</f>
        <v/>
      </c>
      <c r="N107" s="24" t="str">
        <f aca="false">IF(OR(M107="",I107="",I107=0),"",M107/I107-1)</f>
        <v/>
      </c>
      <c r="O107" s="48" t="str">
        <f aca="false">IF(OR(J107="",K107="",G107="",K107=0),"",IF(AND(G107-J107&lt;=550,H107/K107-1&gt;=0.25),"Likely flip","Not a flip"))</f>
        <v/>
      </c>
      <c r="P107" s="39" t="str">
        <f aca="false">IF(OR(J107="",G107=""),"",(G107-J107)/30.44)</f>
        <v/>
      </c>
      <c r="Q107" s="46" t="str">
        <f aca="false">IF(O107&lt;&gt;"Likely flip","",H107-K107-E107*'Past Flips'!$E$3-H107*'Past Flips'!$E$4)</f>
        <v/>
      </c>
      <c r="R107" s="24" t="str">
        <f aca="false">IF(OR(Q107="",H107=0),"",Q107/H107)</f>
        <v/>
      </c>
    </row>
    <row r="108" customFormat="false" ht="15" hidden="false" customHeight="false" outlineLevel="0" collapsed="false">
      <c r="A108" s="30"/>
      <c r="B108" s="30"/>
      <c r="C108" s="30"/>
      <c r="D108" s="30"/>
      <c r="E108" s="27"/>
      <c r="F108" s="42"/>
      <c r="G108" s="43"/>
      <c r="H108" s="41"/>
      <c r="I108" s="41"/>
      <c r="J108" s="43"/>
      <c r="K108" s="41"/>
      <c r="L108" s="30"/>
      <c r="M108" s="46" t="str">
        <f aca="false">IF(OR(H108="",E108="",E108=0),"",H108/E108)</f>
        <v/>
      </c>
      <c r="N108" s="24" t="str">
        <f aca="false">IF(OR(M108="",I108="",I108=0),"",M108/I108-1)</f>
        <v/>
      </c>
      <c r="O108" s="48" t="str">
        <f aca="false">IF(OR(J108="",K108="",G108="",K108=0),"",IF(AND(G108-J108&lt;=550,H108/K108-1&gt;=0.25),"Likely flip","Not a flip"))</f>
        <v/>
      </c>
      <c r="P108" s="39" t="str">
        <f aca="false">IF(OR(J108="",G108=""),"",(G108-J108)/30.44)</f>
        <v/>
      </c>
      <c r="Q108" s="46" t="str">
        <f aca="false">IF(O108&lt;&gt;"Likely flip","",H108-K108-E108*'Past Flips'!$E$3-H108*'Past Flips'!$E$4)</f>
        <v/>
      </c>
      <c r="R108" s="24" t="str">
        <f aca="false">IF(OR(Q108="",H108=0),"",Q108/H108)</f>
        <v/>
      </c>
    </row>
    <row r="109" customFormat="false" ht="15" hidden="false" customHeight="false" outlineLevel="0" collapsed="false">
      <c r="A109" s="30"/>
      <c r="B109" s="30"/>
      <c r="C109" s="30"/>
      <c r="D109" s="30"/>
      <c r="E109" s="27"/>
      <c r="F109" s="42"/>
      <c r="G109" s="43"/>
      <c r="H109" s="41"/>
      <c r="I109" s="41"/>
      <c r="J109" s="43"/>
      <c r="K109" s="41"/>
      <c r="L109" s="30"/>
      <c r="M109" s="46" t="str">
        <f aca="false">IF(OR(H109="",E109="",E109=0),"",H109/E109)</f>
        <v/>
      </c>
      <c r="N109" s="24" t="str">
        <f aca="false">IF(OR(M109="",I109="",I109=0),"",M109/I109-1)</f>
        <v/>
      </c>
      <c r="O109" s="48" t="str">
        <f aca="false">IF(OR(J109="",K109="",G109="",K109=0),"",IF(AND(G109-J109&lt;=550,H109/K109-1&gt;=0.25),"Likely flip","Not a flip"))</f>
        <v/>
      </c>
      <c r="P109" s="39" t="str">
        <f aca="false">IF(OR(J109="",G109=""),"",(G109-J109)/30.44)</f>
        <v/>
      </c>
      <c r="Q109" s="46" t="str">
        <f aca="false">IF(O109&lt;&gt;"Likely flip","",H109-K109-E109*'Past Flips'!$E$3-H109*'Past Flips'!$E$4)</f>
        <v/>
      </c>
      <c r="R109" s="24" t="str">
        <f aca="false">IF(OR(Q109="",H109=0),"",Q109/H109)</f>
        <v/>
      </c>
    </row>
    <row r="110" customFormat="false" ht="15" hidden="false" customHeight="false" outlineLevel="0" collapsed="false">
      <c r="A110" s="30"/>
      <c r="B110" s="30"/>
      <c r="C110" s="30"/>
      <c r="D110" s="30"/>
      <c r="E110" s="27"/>
      <c r="F110" s="42"/>
      <c r="G110" s="43"/>
      <c r="H110" s="41"/>
      <c r="I110" s="41"/>
      <c r="J110" s="43"/>
      <c r="K110" s="41"/>
      <c r="L110" s="30"/>
      <c r="M110" s="46" t="str">
        <f aca="false">IF(OR(H110="",E110="",E110=0),"",H110/E110)</f>
        <v/>
      </c>
      <c r="N110" s="24" t="str">
        <f aca="false">IF(OR(M110="",I110="",I110=0),"",M110/I110-1)</f>
        <v/>
      </c>
      <c r="O110" s="48" t="str">
        <f aca="false">IF(OR(J110="",K110="",G110="",K110=0),"",IF(AND(G110-J110&lt;=550,H110/K110-1&gt;=0.25),"Likely flip","Not a flip"))</f>
        <v/>
      </c>
      <c r="P110" s="39" t="str">
        <f aca="false">IF(OR(J110="",G110=""),"",(G110-J110)/30.44)</f>
        <v/>
      </c>
      <c r="Q110" s="46" t="str">
        <f aca="false">IF(O110&lt;&gt;"Likely flip","",H110-K110-E110*'Past Flips'!$E$3-H110*'Past Flips'!$E$4)</f>
        <v/>
      </c>
      <c r="R110" s="24" t="str">
        <f aca="false">IF(OR(Q110="",H110=0),"",Q110/H110)</f>
        <v/>
      </c>
    </row>
    <row r="111" customFormat="false" ht="15" hidden="false" customHeight="false" outlineLevel="0" collapsed="false">
      <c r="A111" s="30"/>
      <c r="B111" s="30"/>
      <c r="C111" s="30"/>
      <c r="D111" s="30"/>
      <c r="E111" s="27"/>
      <c r="F111" s="42"/>
      <c r="G111" s="43"/>
      <c r="H111" s="41"/>
      <c r="I111" s="41"/>
      <c r="J111" s="43"/>
      <c r="K111" s="41"/>
      <c r="L111" s="30"/>
      <c r="M111" s="46" t="str">
        <f aca="false">IF(OR(H111="",E111="",E111=0),"",H111/E111)</f>
        <v/>
      </c>
      <c r="N111" s="24" t="str">
        <f aca="false">IF(OR(M111="",I111="",I111=0),"",M111/I111-1)</f>
        <v/>
      </c>
      <c r="O111" s="48" t="str">
        <f aca="false">IF(OR(J111="",K111="",G111="",K111=0),"",IF(AND(G111-J111&lt;=550,H111/K111-1&gt;=0.25),"Likely flip","Not a flip"))</f>
        <v/>
      </c>
      <c r="P111" s="39" t="str">
        <f aca="false">IF(OR(J111="",G111=""),"",(G111-J111)/30.44)</f>
        <v/>
      </c>
      <c r="Q111" s="46" t="str">
        <f aca="false">IF(O111&lt;&gt;"Likely flip","",H111-K111-E111*'Past Flips'!$E$3-H111*'Past Flips'!$E$4)</f>
        <v/>
      </c>
      <c r="R111" s="24" t="str">
        <f aca="false">IF(OR(Q111="",H111=0),"",Q111/H111)</f>
        <v/>
      </c>
    </row>
    <row r="112" customFormat="false" ht="15" hidden="false" customHeight="false" outlineLevel="0" collapsed="false">
      <c r="A112" s="30"/>
      <c r="B112" s="30"/>
      <c r="C112" s="30"/>
      <c r="D112" s="30"/>
      <c r="E112" s="27"/>
      <c r="F112" s="42"/>
      <c r="G112" s="43"/>
      <c r="H112" s="41"/>
      <c r="I112" s="41"/>
      <c r="J112" s="43"/>
      <c r="K112" s="41"/>
      <c r="L112" s="30"/>
      <c r="M112" s="46" t="str">
        <f aca="false">IF(OR(H112="",E112="",E112=0),"",H112/E112)</f>
        <v/>
      </c>
      <c r="N112" s="24" t="str">
        <f aca="false">IF(OR(M112="",I112="",I112=0),"",M112/I112-1)</f>
        <v/>
      </c>
      <c r="O112" s="48" t="str">
        <f aca="false">IF(OR(J112="",K112="",G112="",K112=0),"",IF(AND(G112-J112&lt;=550,H112/K112-1&gt;=0.25),"Likely flip","Not a flip"))</f>
        <v/>
      </c>
      <c r="P112" s="39" t="str">
        <f aca="false">IF(OR(J112="",G112=""),"",(G112-J112)/30.44)</f>
        <v/>
      </c>
      <c r="Q112" s="46" t="str">
        <f aca="false">IF(O112&lt;&gt;"Likely flip","",H112-K112-E112*'Past Flips'!$E$3-H112*'Past Flips'!$E$4)</f>
        <v/>
      </c>
      <c r="R112" s="24" t="str">
        <f aca="false">IF(OR(Q112="",H112=0),"",Q112/H112)</f>
        <v/>
      </c>
    </row>
    <row r="113" customFormat="false" ht="15" hidden="false" customHeight="false" outlineLevel="0" collapsed="false">
      <c r="A113" s="30"/>
      <c r="B113" s="30"/>
      <c r="C113" s="30"/>
      <c r="D113" s="30"/>
      <c r="E113" s="27"/>
      <c r="F113" s="42"/>
      <c r="G113" s="43"/>
      <c r="H113" s="41"/>
      <c r="I113" s="41"/>
      <c r="J113" s="43"/>
      <c r="K113" s="41"/>
      <c r="L113" s="30"/>
      <c r="M113" s="46" t="str">
        <f aca="false">IF(OR(H113="",E113="",E113=0),"",H113/E113)</f>
        <v/>
      </c>
      <c r="N113" s="24" t="str">
        <f aca="false">IF(OR(M113="",I113="",I113=0),"",M113/I113-1)</f>
        <v/>
      </c>
      <c r="O113" s="48" t="str">
        <f aca="false">IF(OR(J113="",K113="",G113="",K113=0),"",IF(AND(G113-J113&lt;=550,H113/K113-1&gt;=0.25),"Likely flip","Not a flip"))</f>
        <v/>
      </c>
      <c r="P113" s="39" t="str">
        <f aca="false">IF(OR(J113="",G113=""),"",(G113-J113)/30.44)</f>
        <v/>
      </c>
      <c r="Q113" s="46" t="str">
        <f aca="false">IF(O113&lt;&gt;"Likely flip","",H113-K113-E113*'Past Flips'!$E$3-H113*'Past Flips'!$E$4)</f>
        <v/>
      </c>
      <c r="R113" s="24" t="str">
        <f aca="false">IF(OR(Q113="",H113=0),"",Q113/H113)</f>
        <v/>
      </c>
    </row>
    <row r="114" customFormat="false" ht="15" hidden="false" customHeight="false" outlineLevel="0" collapsed="false">
      <c r="A114" s="30"/>
      <c r="B114" s="30"/>
      <c r="C114" s="30"/>
      <c r="D114" s="30"/>
      <c r="E114" s="27"/>
      <c r="F114" s="42"/>
      <c r="G114" s="43"/>
      <c r="H114" s="41"/>
      <c r="I114" s="41"/>
      <c r="J114" s="43"/>
      <c r="K114" s="41"/>
      <c r="L114" s="30"/>
      <c r="M114" s="46" t="str">
        <f aca="false">IF(OR(H114="",E114="",E114=0),"",H114/E114)</f>
        <v/>
      </c>
      <c r="N114" s="24" t="str">
        <f aca="false">IF(OR(M114="",I114="",I114=0),"",M114/I114-1)</f>
        <v/>
      </c>
      <c r="O114" s="48" t="str">
        <f aca="false">IF(OR(J114="",K114="",G114="",K114=0),"",IF(AND(G114-J114&lt;=550,H114/K114-1&gt;=0.25),"Likely flip","Not a flip"))</f>
        <v/>
      </c>
      <c r="P114" s="39" t="str">
        <f aca="false">IF(OR(J114="",G114=""),"",(G114-J114)/30.44)</f>
        <v/>
      </c>
      <c r="Q114" s="46" t="str">
        <f aca="false">IF(O114&lt;&gt;"Likely flip","",H114-K114-E114*'Past Flips'!$E$3-H114*'Past Flips'!$E$4)</f>
        <v/>
      </c>
      <c r="R114" s="24" t="str">
        <f aca="false">IF(OR(Q114="",H114=0),"",Q114/H114)</f>
        <v/>
      </c>
    </row>
    <row r="115" customFormat="false" ht="15" hidden="false" customHeight="false" outlineLevel="0" collapsed="false">
      <c r="A115" s="30"/>
      <c r="B115" s="30"/>
      <c r="C115" s="30"/>
      <c r="D115" s="30"/>
      <c r="E115" s="27"/>
      <c r="F115" s="42"/>
      <c r="G115" s="43"/>
      <c r="H115" s="41"/>
      <c r="I115" s="41"/>
      <c r="J115" s="43"/>
      <c r="K115" s="41"/>
      <c r="L115" s="30"/>
      <c r="M115" s="46" t="str">
        <f aca="false">IF(OR(H115="",E115="",E115=0),"",H115/E115)</f>
        <v/>
      </c>
      <c r="N115" s="24" t="str">
        <f aca="false">IF(OR(M115="",I115="",I115=0),"",M115/I115-1)</f>
        <v/>
      </c>
      <c r="O115" s="48" t="str">
        <f aca="false">IF(OR(J115="",K115="",G115="",K115=0),"",IF(AND(G115-J115&lt;=550,H115/K115-1&gt;=0.25),"Likely flip","Not a flip"))</f>
        <v/>
      </c>
      <c r="P115" s="39" t="str">
        <f aca="false">IF(OR(J115="",G115=""),"",(G115-J115)/30.44)</f>
        <v/>
      </c>
      <c r="Q115" s="46" t="str">
        <f aca="false">IF(O115&lt;&gt;"Likely flip","",H115-K115-E115*'Past Flips'!$E$3-H115*'Past Flips'!$E$4)</f>
        <v/>
      </c>
      <c r="R115" s="24" t="str">
        <f aca="false">IF(OR(Q115="",H115=0),"",Q115/H115)</f>
        <v/>
      </c>
    </row>
    <row r="116" customFormat="false" ht="15" hidden="false" customHeight="false" outlineLevel="0" collapsed="false">
      <c r="A116" s="30"/>
      <c r="B116" s="30"/>
      <c r="C116" s="30"/>
      <c r="D116" s="30"/>
      <c r="E116" s="27"/>
      <c r="F116" s="42"/>
      <c r="G116" s="43"/>
      <c r="H116" s="41"/>
      <c r="I116" s="41"/>
      <c r="J116" s="43"/>
      <c r="K116" s="41"/>
      <c r="L116" s="30"/>
      <c r="M116" s="46" t="str">
        <f aca="false">IF(OR(H116="",E116="",E116=0),"",H116/E116)</f>
        <v/>
      </c>
      <c r="N116" s="24" t="str">
        <f aca="false">IF(OR(M116="",I116="",I116=0),"",M116/I116-1)</f>
        <v/>
      </c>
      <c r="O116" s="48" t="str">
        <f aca="false">IF(OR(J116="",K116="",G116="",K116=0),"",IF(AND(G116-J116&lt;=550,H116/K116-1&gt;=0.25),"Likely flip","Not a flip"))</f>
        <v/>
      </c>
      <c r="P116" s="39" t="str">
        <f aca="false">IF(OR(J116="",G116=""),"",(G116-J116)/30.44)</f>
        <v/>
      </c>
      <c r="Q116" s="46" t="str">
        <f aca="false">IF(O116&lt;&gt;"Likely flip","",H116-K116-E116*'Past Flips'!$E$3-H116*'Past Flips'!$E$4)</f>
        <v/>
      </c>
      <c r="R116" s="24" t="str">
        <f aca="false">IF(OR(Q116="",H116=0),"",Q116/H116)</f>
        <v/>
      </c>
    </row>
    <row r="117" customFormat="false" ht="15" hidden="false" customHeight="false" outlineLevel="0" collapsed="false">
      <c r="A117" s="30"/>
      <c r="B117" s="30"/>
      <c r="C117" s="30"/>
      <c r="D117" s="30"/>
      <c r="E117" s="27"/>
      <c r="F117" s="42"/>
      <c r="G117" s="43"/>
      <c r="H117" s="41"/>
      <c r="I117" s="41"/>
      <c r="J117" s="43"/>
      <c r="K117" s="41"/>
      <c r="L117" s="30"/>
      <c r="M117" s="46" t="str">
        <f aca="false">IF(OR(H117="",E117="",E117=0),"",H117/E117)</f>
        <v/>
      </c>
      <c r="N117" s="24" t="str">
        <f aca="false">IF(OR(M117="",I117="",I117=0),"",M117/I117-1)</f>
        <v/>
      </c>
      <c r="O117" s="48" t="str">
        <f aca="false">IF(OR(J117="",K117="",G117="",K117=0),"",IF(AND(G117-J117&lt;=550,H117/K117-1&gt;=0.25),"Likely flip","Not a flip"))</f>
        <v/>
      </c>
      <c r="P117" s="39" t="str">
        <f aca="false">IF(OR(J117="",G117=""),"",(G117-J117)/30.44)</f>
        <v/>
      </c>
      <c r="Q117" s="46" t="str">
        <f aca="false">IF(O117&lt;&gt;"Likely flip","",H117-K117-E117*'Past Flips'!$E$3-H117*'Past Flips'!$E$4)</f>
        <v/>
      </c>
      <c r="R117" s="24" t="str">
        <f aca="false">IF(OR(Q117="",H117=0),"",Q117/H117)</f>
        <v/>
      </c>
    </row>
    <row r="118" customFormat="false" ht="15" hidden="false" customHeight="false" outlineLevel="0" collapsed="false">
      <c r="A118" s="30"/>
      <c r="B118" s="30"/>
      <c r="C118" s="30"/>
      <c r="D118" s="30"/>
      <c r="E118" s="27"/>
      <c r="F118" s="42"/>
      <c r="G118" s="43"/>
      <c r="H118" s="41"/>
      <c r="I118" s="41"/>
      <c r="J118" s="43"/>
      <c r="K118" s="41"/>
      <c r="L118" s="30"/>
      <c r="M118" s="46" t="str">
        <f aca="false">IF(OR(H118="",E118="",E118=0),"",H118/E118)</f>
        <v/>
      </c>
      <c r="N118" s="24" t="str">
        <f aca="false">IF(OR(M118="",I118="",I118=0),"",M118/I118-1)</f>
        <v/>
      </c>
      <c r="O118" s="48" t="str">
        <f aca="false">IF(OR(J118="",K118="",G118="",K118=0),"",IF(AND(G118-J118&lt;=550,H118/K118-1&gt;=0.25),"Likely flip","Not a flip"))</f>
        <v/>
      </c>
      <c r="P118" s="39" t="str">
        <f aca="false">IF(OR(J118="",G118=""),"",(G118-J118)/30.44)</f>
        <v/>
      </c>
      <c r="Q118" s="46" t="str">
        <f aca="false">IF(O118&lt;&gt;"Likely flip","",H118-K118-E118*'Past Flips'!$E$3-H118*'Past Flips'!$E$4)</f>
        <v/>
      </c>
      <c r="R118" s="24" t="str">
        <f aca="false">IF(OR(Q118="",H118=0),"",Q118/H118)</f>
        <v/>
      </c>
    </row>
    <row r="119" customFormat="false" ht="15" hidden="false" customHeight="false" outlineLevel="0" collapsed="false">
      <c r="A119" s="30"/>
      <c r="B119" s="30"/>
      <c r="C119" s="30"/>
      <c r="D119" s="30"/>
      <c r="E119" s="27"/>
      <c r="F119" s="42"/>
      <c r="G119" s="43"/>
      <c r="H119" s="41"/>
      <c r="I119" s="41"/>
      <c r="J119" s="43"/>
      <c r="K119" s="41"/>
      <c r="L119" s="30"/>
      <c r="M119" s="46" t="str">
        <f aca="false">IF(OR(H119="",E119="",E119=0),"",H119/E119)</f>
        <v/>
      </c>
      <c r="N119" s="24" t="str">
        <f aca="false">IF(OR(M119="",I119="",I119=0),"",M119/I119-1)</f>
        <v/>
      </c>
      <c r="O119" s="48" t="str">
        <f aca="false">IF(OR(J119="",K119="",G119="",K119=0),"",IF(AND(G119-J119&lt;=550,H119/K119-1&gt;=0.25),"Likely flip","Not a flip"))</f>
        <v/>
      </c>
      <c r="P119" s="39" t="str">
        <f aca="false">IF(OR(J119="",G119=""),"",(G119-J119)/30.44)</f>
        <v/>
      </c>
      <c r="Q119" s="46" t="str">
        <f aca="false">IF(O119&lt;&gt;"Likely flip","",H119-K119-E119*'Past Flips'!$E$3-H119*'Past Flips'!$E$4)</f>
        <v/>
      </c>
      <c r="R119" s="24" t="str">
        <f aca="false">IF(OR(Q119="",H119=0),"",Q119/H119)</f>
        <v/>
      </c>
    </row>
    <row r="120" customFormat="false" ht="15" hidden="false" customHeight="false" outlineLevel="0" collapsed="false">
      <c r="A120" s="30"/>
      <c r="B120" s="30"/>
      <c r="C120" s="30"/>
      <c r="D120" s="30"/>
      <c r="E120" s="27"/>
      <c r="F120" s="42"/>
      <c r="G120" s="43"/>
      <c r="H120" s="41"/>
      <c r="I120" s="41"/>
      <c r="J120" s="43"/>
      <c r="K120" s="41"/>
      <c r="L120" s="30"/>
      <c r="M120" s="46" t="str">
        <f aca="false">IF(OR(H120="",E120="",E120=0),"",H120/E120)</f>
        <v/>
      </c>
      <c r="N120" s="24" t="str">
        <f aca="false">IF(OR(M120="",I120="",I120=0),"",M120/I120-1)</f>
        <v/>
      </c>
      <c r="O120" s="48" t="str">
        <f aca="false">IF(OR(J120="",K120="",G120="",K120=0),"",IF(AND(G120-J120&lt;=550,H120/K120-1&gt;=0.25),"Likely flip","Not a flip"))</f>
        <v/>
      </c>
      <c r="P120" s="39" t="str">
        <f aca="false">IF(OR(J120="",G120=""),"",(G120-J120)/30.44)</f>
        <v/>
      </c>
      <c r="Q120" s="46" t="str">
        <f aca="false">IF(O120&lt;&gt;"Likely flip","",H120-K120-E120*'Past Flips'!$E$3-H120*'Past Flips'!$E$4)</f>
        <v/>
      </c>
      <c r="R120" s="24" t="str">
        <f aca="false">IF(OR(Q120="",H120=0),"",Q120/H120)</f>
        <v/>
      </c>
    </row>
    <row r="121" customFormat="false" ht="15" hidden="false" customHeight="false" outlineLevel="0" collapsed="false">
      <c r="A121" s="30"/>
      <c r="B121" s="30"/>
      <c r="C121" s="30"/>
      <c r="D121" s="30"/>
      <c r="E121" s="27"/>
      <c r="F121" s="42"/>
      <c r="G121" s="43"/>
      <c r="H121" s="41"/>
      <c r="I121" s="41"/>
      <c r="J121" s="43"/>
      <c r="K121" s="41"/>
      <c r="L121" s="30"/>
      <c r="M121" s="46" t="str">
        <f aca="false">IF(OR(H121="",E121="",E121=0),"",H121/E121)</f>
        <v/>
      </c>
      <c r="N121" s="24" t="str">
        <f aca="false">IF(OR(M121="",I121="",I121=0),"",M121/I121-1)</f>
        <v/>
      </c>
      <c r="O121" s="48" t="str">
        <f aca="false">IF(OR(J121="",K121="",G121="",K121=0),"",IF(AND(G121-J121&lt;=550,H121/K121-1&gt;=0.25),"Likely flip","Not a flip"))</f>
        <v/>
      </c>
      <c r="P121" s="39" t="str">
        <f aca="false">IF(OR(J121="",G121=""),"",(G121-J121)/30.44)</f>
        <v/>
      </c>
      <c r="Q121" s="46" t="str">
        <f aca="false">IF(O121&lt;&gt;"Likely flip","",H121-K121-E121*'Past Flips'!$E$3-H121*'Past Flips'!$E$4)</f>
        <v/>
      </c>
      <c r="R121" s="24" t="str">
        <f aca="false">IF(OR(Q121="",H121=0),"",Q121/H121)</f>
        <v/>
      </c>
    </row>
    <row r="122" customFormat="false" ht="15" hidden="false" customHeight="false" outlineLevel="0" collapsed="false">
      <c r="A122" s="30"/>
      <c r="B122" s="30"/>
      <c r="C122" s="30"/>
      <c r="D122" s="30"/>
      <c r="E122" s="27"/>
      <c r="F122" s="42"/>
      <c r="G122" s="43"/>
      <c r="H122" s="41"/>
      <c r="I122" s="41"/>
      <c r="J122" s="43"/>
      <c r="K122" s="41"/>
      <c r="L122" s="30"/>
      <c r="M122" s="46" t="str">
        <f aca="false">IF(OR(H122="",E122="",E122=0),"",H122/E122)</f>
        <v/>
      </c>
      <c r="N122" s="24" t="str">
        <f aca="false">IF(OR(M122="",I122="",I122=0),"",M122/I122-1)</f>
        <v/>
      </c>
      <c r="O122" s="48" t="str">
        <f aca="false">IF(OR(J122="",K122="",G122="",K122=0),"",IF(AND(G122-J122&lt;=550,H122/K122-1&gt;=0.25),"Likely flip","Not a flip"))</f>
        <v/>
      </c>
      <c r="P122" s="39" t="str">
        <f aca="false">IF(OR(J122="",G122=""),"",(G122-J122)/30.44)</f>
        <v/>
      </c>
      <c r="Q122" s="46" t="str">
        <f aca="false">IF(O122&lt;&gt;"Likely flip","",H122-K122-E122*'Past Flips'!$E$3-H122*'Past Flips'!$E$4)</f>
        <v/>
      </c>
      <c r="R122" s="24" t="str">
        <f aca="false">IF(OR(Q122="",H122=0),"",Q122/H122)</f>
        <v/>
      </c>
    </row>
    <row r="123" customFormat="false" ht="15" hidden="false" customHeight="false" outlineLevel="0" collapsed="false">
      <c r="A123" s="30"/>
      <c r="B123" s="30"/>
      <c r="C123" s="30"/>
      <c r="D123" s="30"/>
      <c r="E123" s="27"/>
      <c r="F123" s="42"/>
      <c r="G123" s="43"/>
      <c r="H123" s="41"/>
      <c r="I123" s="41"/>
      <c r="J123" s="43"/>
      <c r="K123" s="41"/>
      <c r="L123" s="30"/>
      <c r="M123" s="46" t="str">
        <f aca="false">IF(OR(H123="",E123="",E123=0),"",H123/E123)</f>
        <v/>
      </c>
      <c r="N123" s="24" t="str">
        <f aca="false">IF(OR(M123="",I123="",I123=0),"",M123/I123-1)</f>
        <v/>
      </c>
      <c r="O123" s="48" t="str">
        <f aca="false">IF(OR(J123="",K123="",G123="",K123=0),"",IF(AND(G123-J123&lt;=550,H123/K123-1&gt;=0.25),"Likely flip","Not a flip"))</f>
        <v/>
      </c>
      <c r="P123" s="39" t="str">
        <f aca="false">IF(OR(J123="",G123=""),"",(G123-J123)/30.44)</f>
        <v/>
      </c>
      <c r="Q123" s="46" t="str">
        <f aca="false">IF(O123&lt;&gt;"Likely flip","",H123-K123-E123*'Past Flips'!$E$3-H123*'Past Flips'!$E$4)</f>
        <v/>
      </c>
      <c r="R123" s="24" t="str">
        <f aca="false">IF(OR(Q123="",H123=0),"",Q123/H123)</f>
        <v/>
      </c>
    </row>
    <row r="124" customFormat="false" ht="15" hidden="false" customHeight="false" outlineLevel="0" collapsed="false">
      <c r="A124" s="30"/>
      <c r="B124" s="30"/>
      <c r="C124" s="30"/>
      <c r="D124" s="30"/>
      <c r="E124" s="27"/>
      <c r="F124" s="42"/>
      <c r="G124" s="43"/>
      <c r="H124" s="41"/>
      <c r="I124" s="41"/>
      <c r="J124" s="43"/>
      <c r="K124" s="41"/>
      <c r="L124" s="30"/>
      <c r="M124" s="46" t="str">
        <f aca="false">IF(OR(H124="",E124="",E124=0),"",H124/E124)</f>
        <v/>
      </c>
      <c r="N124" s="24" t="str">
        <f aca="false">IF(OR(M124="",I124="",I124=0),"",M124/I124-1)</f>
        <v/>
      </c>
      <c r="O124" s="48" t="str">
        <f aca="false">IF(OR(J124="",K124="",G124="",K124=0),"",IF(AND(G124-J124&lt;=550,H124/K124-1&gt;=0.25),"Likely flip","Not a flip"))</f>
        <v/>
      </c>
      <c r="P124" s="39" t="str">
        <f aca="false">IF(OR(J124="",G124=""),"",(G124-J124)/30.44)</f>
        <v/>
      </c>
      <c r="Q124" s="46" t="str">
        <f aca="false">IF(O124&lt;&gt;"Likely flip","",H124-K124-E124*'Past Flips'!$E$3-H124*'Past Flips'!$E$4)</f>
        <v/>
      </c>
      <c r="R124" s="24" t="str">
        <f aca="false">IF(OR(Q124="",H124=0),"",Q124/H124)</f>
        <v/>
      </c>
    </row>
    <row r="125" customFormat="false" ht="15" hidden="false" customHeight="false" outlineLevel="0" collapsed="false">
      <c r="A125" s="30"/>
      <c r="B125" s="30"/>
      <c r="C125" s="30"/>
      <c r="D125" s="30"/>
      <c r="E125" s="27"/>
      <c r="F125" s="42"/>
      <c r="G125" s="43"/>
      <c r="H125" s="41"/>
      <c r="I125" s="41"/>
      <c r="J125" s="43"/>
      <c r="K125" s="41"/>
      <c r="L125" s="30"/>
      <c r="M125" s="46" t="str">
        <f aca="false">IF(OR(H125="",E125="",E125=0),"",H125/E125)</f>
        <v/>
      </c>
      <c r="N125" s="24" t="str">
        <f aca="false">IF(OR(M125="",I125="",I125=0),"",M125/I125-1)</f>
        <v/>
      </c>
      <c r="O125" s="48" t="str">
        <f aca="false">IF(OR(J125="",K125="",G125="",K125=0),"",IF(AND(G125-J125&lt;=550,H125/K125-1&gt;=0.25),"Likely flip","Not a flip"))</f>
        <v/>
      </c>
      <c r="P125" s="39" t="str">
        <f aca="false">IF(OR(J125="",G125=""),"",(G125-J125)/30.44)</f>
        <v/>
      </c>
      <c r="Q125" s="46" t="str">
        <f aca="false">IF(O125&lt;&gt;"Likely flip","",H125-K125-E125*'Past Flips'!$E$3-H125*'Past Flips'!$E$4)</f>
        <v/>
      </c>
      <c r="R125" s="24" t="str">
        <f aca="false">IF(OR(Q125="",H125=0),"",Q125/H125)</f>
        <v/>
      </c>
    </row>
    <row r="126" customFormat="false" ht="15" hidden="false" customHeight="false" outlineLevel="0" collapsed="false">
      <c r="A126" s="30"/>
      <c r="B126" s="30"/>
      <c r="C126" s="30"/>
      <c r="D126" s="30"/>
      <c r="E126" s="27"/>
      <c r="F126" s="42"/>
      <c r="G126" s="43"/>
      <c r="H126" s="41"/>
      <c r="I126" s="41"/>
      <c r="J126" s="43"/>
      <c r="K126" s="41"/>
      <c r="L126" s="30"/>
      <c r="M126" s="46" t="str">
        <f aca="false">IF(OR(H126="",E126="",E126=0),"",H126/E126)</f>
        <v/>
      </c>
      <c r="N126" s="24" t="str">
        <f aca="false">IF(OR(M126="",I126="",I126=0),"",M126/I126-1)</f>
        <v/>
      </c>
      <c r="O126" s="48" t="str">
        <f aca="false">IF(OR(J126="",K126="",G126="",K126=0),"",IF(AND(G126-J126&lt;=550,H126/K126-1&gt;=0.25),"Likely flip","Not a flip"))</f>
        <v/>
      </c>
      <c r="P126" s="39" t="str">
        <f aca="false">IF(OR(J126="",G126=""),"",(G126-J126)/30.44)</f>
        <v/>
      </c>
      <c r="Q126" s="46" t="str">
        <f aca="false">IF(O126&lt;&gt;"Likely flip","",H126-K126-E126*'Past Flips'!$E$3-H126*'Past Flips'!$E$4)</f>
        <v/>
      </c>
      <c r="R126" s="24" t="str">
        <f aca="false">IF(OR(Q126="",H126=0),"",Q126/H126)</f>
        <v/>
      </c>
    </row>
    <row r="127" customFormat="false" ht="15" hidden="false" customHeight="false" outlineLevel="0" collapsed="false">
      <c r="A127" s="30"/>
      <c r="B127" s="30"/>
      <c r="C127" s="30"/>
      <c r="D127" s="30"/>
      <c r="E127" s="27"/>
      <c r="F127" s="42"/>
      <c r="G127" s="43"/>
      <c r="H127" s="41"/>
      <c r="I127" s="41"/>
      <c r="J127" s="43"/>
      <c r="K127" s="41"/>
      <c r="L127" s="30"/>
      <c r="M127" s="46" t="str">
        <f aca="false">IF(OR(H127="",E127="",E127=0),"",H127/E127)</f>
        <v/>
      </c>
      <c r="N127" s="24" t="str">
        <f aca="false">IF(OR(M127="",I127="",I127=0),"",M127/I127-1)</f>
        <v/>
      </c>
      <c r="O127" s="48" t="str">
        <f aca="false">IF(OR(J127="",K127="",G127="",K127=0),"",IF(AND(G127-J127&lt;=550,H127/K127-1&gt;=0.25),"Likely flip","Not a flip"))</f>
        <v/>
      </c>
      <c r="P127" s="39" t="str">
        <f aca="false">IF(OR(J127="",G127=""),"",(G127-J127)/30.44)</f>
        <v/>
      </c>
      <c r="Q127" s="46" t="str">
        <f aca="false">IF(O127&lt;&gt;"Likely flip","",H127-K127-E127*'Past Flips'!$E$3-H127*'Past Flips'!$E$4)</f>
        <v/>
      </c>
      <c r="R127" s="24" t="str">
        <f aca="false">IF(OR(Q127="",H127=0),"",Q127/H127)</f>
        <v/>
      </c>
    </row>
    <row r="128" customFormat="false" ht="15" hidden="false" customHeight="false" outlineLevel="0" collapsed="false">
      <c r="A128" s="30"/>
      <c r="B128" s="30"/>
      <c r="C128" s="30"/>
      <c r="D128" s="30"/>
      <c r="E128" s="27"/>
      <c r="F128" s="42"/>
      <c r="G128" s="43"/>
      <c r="H128" s="41"/>
      <c r="I128" s="41"/>
      <c r="J128" s="43"/>
      <c r="K128" s="41"/>
      <c r="L128" s="30"/>
      <c r="M128" s="46" t="str">
        <f aca="false">IF(OR(H128="",E128="",E128=0),"",H128/E128)</f>
        <v/>
      </c>
      <c r="N128" s="24" t="str">
        <f aca="false">IF(OR(M128="",I128="",I128=0),"",M128/I128-1)</f>
        <v/>
      </c>
      <c r="O128" s="48" t="str">
        <f aca="false">IF(OR(J128="",K128="",G128="",K128=0),"",IF(AND(G128-J128&lt;=550,H128/K128-1&gt;=0.25),"Likely flip","Not a flip"))</f>
        <v/>
      </c>
      <c r="P128" s="39" t="str">
        <f aca="false">IF(OR(J128="",G128=""),"",(G128-J128)/30.44)</f>
        <v/>
      </c>
      <c r="Q128" s="46" t="str">
        <f aca="false">IF(O128&lt;&gt;"Likely flip","",H128-K128-E128*'Past Flips'!$E$3-H128*'Past Flips'!$E$4)</f>
        <v/>
      </c>
      <c r="R128" s="24" t="str">
        <f aca="false">IF(OR(Q128="",H128=0),"",Q128/H128)</f>
        <v/>
      </c>
    </row>
    <row r="129" customFormat="false" ht="15" hidden="false" customHeight="false" outlineLevel="0" collapsed="false">
      <c r="A129" s="30"/>
      <c r="B129" s="30"/>
      <c r="C129" s="30"/>
      <c r="D129" s="30"/>
      <c r="E129" s="27"/>
      <c r="F129" s="42"/>
      <c r="G129" s="43"/>
      <c r="H129" s="41"/>
      <c r="I129" s="41"/>
      <c r="J129" s="43"/>
      <c r="K129" s="41"/>
      <c r="L129" s="30"/>
      <c r="M129" s="46" t="str">
        <f aca="false">IF(OR(H129="",E129="",E129=0),"",H129/E129)</f>
        <v/>
      </c>
      <c r="N129" s="24" t="str">
        <f aca="false">IF(OR(M129="",I129="",I129=0),"",M129/I129-1)</f>
        <v/>
      </c>
      <c r="O129" s="48" t="str">
        <f aca="false">IF(OR(J129="",K129="",G129="",K129=0),"",IF(AND(G129-J129&lt;=550,H129/K129-1&gt;=0.25),"Likely flip","Not a flip"))</f>
        <v/>
      </c>
      <c r="P129" s="39" t="str">
        <f aca="false">IF(OR(J129="",G129=""),"",(G129-J129)/30.44)</f>
        <v/>
      </c>
      <c r="Q129" s="46" t="str">
        <f aca="false">IF(O129&lt;&gt;"Likely flip","",H129-K129-E129*'Past Flips'!$E$3-H129*'Past Flips'!$E$4)</f>
        <v/>
      </c>
      <c r="R129" s="24" t="str">
        <f aca="false">IF(OR(Q129="",H129=0),"",Q129/H129)</f>
        <v/>
      </c>
    </row>
    <row r="130" customFormat="false" ht="15" hidden="false" customHeight="false" outlineLevel="0" collapsed="false">
      <c r="A130" s="30"/>
      <c r="B130" s="30"/>
      <c r="C130" s="30"/>
      <c r="D130" s="30"/>
      <c r="E130" s="27"/>
      <c r="F130" s="42"/>
      <c r="G130" s="43"/>
      <c r="H130" s="41"/>
      <c r="I130" s="41"/>
      <c r="J130" s="43"/>
      <c r="K130" s="41"/>
      <c r="L130" s="30"/>
      <c r="M130" s="46" t="str">
        <f aca="false">IF(OR(H130="",E130="",E130=0),"",H130/E130)</f>
        <v/>
      </c>
      <c r="N130" s="24" t="str">
        <f aca="false">IF(OR(M130="",I130="",I130=0),"",M130/I130-1)</f>
        <v/>
      </c>
      <c r="O130" s="48" t="str">
        <f aca="false">IF(OR(J130="",K130="",G130="",K130=0),"",IF(AND(G130-J130&lt;=550,H130/K130-1&gt;=0.25),"Likely flip","Not a flip"))</f>
        <v/>
      </c>
      <c r="P130" s="39" t="str">
        <f aca="false">IF(OR(J130="",G130=""),"",(G130-J130)/30.44)</f>
        <v/>
      </c>
      <c r="Q130" s="46" t="str">
        <f aca="false">IF(O130&lt;&gt;"Likely flip","",H130-K130-E130*'Past Flips'!$E$3-H130*'Past Flips'!$E$4)</f>
        <v/>
      </c>
      <c r="R130" s="24" t="str">
        <f aca="false">IF(OR(Q130="",H130=0),"",Q130/H130)</f>
        <v/>
      </c>
    </row>
    <row r="131" customFormat="false" ht="15" hidden="false" customHeight="false" outlineLevel="0" collapsed="false">
      <c r="A131" s="30"/>
      <c r="B131" s="30"/>
      <c r="C131" s="30"/>
      <c r="D131" s="30"/>
      <c r="E131" s="27"/>
      <c r="F131" s="42"/>
      <c r="G131" s="43"/>
      <c r="H131" s="41"/>
      <c r="I131" s="41"/>
      <c r="J131" s="43"/>
      <c r="K131" s="41"/>
      <c r="L131" s="30"/>
      <c r="M131" s="46" t="str">
        <f aca="false">IF(OR(H131="",E131="",E131=0),"",H131/E131)</f>
        <v/>
      </c>
      <c r="N131" s="24" t="str">
        <f aca="false">IF(OR(M131="",I131="",I131=0),"",M131/I131-1)</f>
        <v/>
      </c>
      <c r="O131" s="48" t="str">
        <f aca="false">IF(OR(J131="",K131="",G131="",K131=0),"",IF(AND(G131-J131&lt;=550,H131/K131-1&gt;=0.25),"Likely flip","Not a flip"))</f>
        <v/>
      </c>
      <c r="P131" s="39" t="str">
        <f aca="false">IF(OR(J131="",G131=""),"",(G131-J131)/30.44)</f>
        <v/>
      </c>
      <c r="Q131" s="46" t="str">
        <f aca="false">IF(O131&lt;&gt;"Likely flip","",H131-K131-E131*'Past Flips'!$E$3-H131*'Past Flips'!$E$4)</f>
        <v/>
      </c>
      <c r="R131" s="24" t="str">
        <f aca="false">IF(OR(Q131="",H131=0),"",Q131/H131)</f>
        <v/>
      </c>
    </row>
    <row r="132" customFormat="false" ht="15" hidden="false" customHeight="false" outlineLevel="0" collapsed="false">
      <c r="A132" s="30"/>
      <c r="B132" s="30"/>
      <c r="C132" s="30"/>
      <c r="D132" s="30"/>
      <c r="E132" s="27"/>
      <c r="F132" s="42"/>
      <c r="G132" s="43"/>
      <c r="H132" s="41"/>
      <c r="I132" s="41"/>
      <c r="J132" s="43"/>
      <c r="K132" s="41"/>
      <c r="L132" s="30"/>
      <c r="M132" s="46" t="str">
        <f aca="false">IF(OR(H132="",E132="",E132=0),"",H132/E132)</f>
        <v/>
      </c>
      <c r="N132" s="24" t="str">
        <f aca="false">IF(OR(M132="",I132="",I132=0),"",M132/I132-1)</f>
        <v/>
      </c>
      <c r="O132" s="48" t="str">
        <f aca="false">IF(OR(J132="",K132="",G132="",K132=0),"",IF(AND(G132-J132&lt;=550,H132/K132-1&gt;=0.25),"Likely flip","Not a flip"))</f>
        <v/>
      </c>
      <c r="P132" s="39" t="str">
        <f aca="false">IF(OR(J132="",G132=""),"",(G132-J132)/30.44)</f>
        <v/>
      </c>
      <c r="Q132" s="46" t="str">
        <f aca="false">IF(O132&lt;&gt;"Likely flip","",H132-K132-E132*'Past Flips'!$E$3-H132*'Past Flips'!$E$4)</f>
        <v/>
      </c>
      <c r="R132" s="24" t="str">
        <f aca="false">IF(OR(Q132="",H132=0),"",Q132/H132)</f>
        <v/>
      </c>
    </row>
    <row r="133" customFormat="false" ht="15" hidden="false" customHeight="false" outlineLevel="0" collapsed="false">
      <c r="A133" s="30"/>
      <c r="B133" s="30"/>
      <c r="C133" s="30"/>
      <c r="D133" s="30"/>
      <c r="E133" s="27"/>
      <c r="F133" s="42"/>
      <c r="G133" s="43"/>
      <c r="H133" s="41"/>
      <c r="I133" s="41"/>
      <c r="J133" s="43"/>
      <c r="K133" s="41"/>
      <c r="L133" s="30"/>
      <c r="M133" s="46" t="str">
        <f aca="false">IF(OR(H133="",E133="",E133=0),"",H133/E133)</f>
        <v/>
      </c>
      <c r="N133" s="24" t="str">
        <f aca="false">IF(OR(M133="",I133="",I133=0),"",M133/I133-1)</f>
        <v/>
      </c>
      <c r="O133" s="48" t="str">
        <f aca="false">IF(OR(J133="",K133="",G133="",K133=0),"",IF(AND(G133-J133&lt;=550,H133/K133-1&gt;=0.25),"Likely flip","Not a flip"))</f>
        <v/>
      </c>
      <c r="P133" s="39" t="str">
        <f aca="false">IF(OR(J133="",G133=""),"",(G133-J133)/30.44)</f>
        <v/>
      </c>
      <c r="Q133" s="46" t="str">
        <f aca="false">IF(O133&lt;&gt;"Likely flip","",H133-K133-E133*'Past Flips'!$E$3-H133*'Past Flips'!$E$4)</f>
        <v/>
      </c>
      <c r="R133" s="24" t="str">
        <f aca="false">IF(OR(Q133="",H133=0),"",Q133/H133)</f>
        <v/>
      </c>
    </row>
    <row r="134" customFormat="false" ht="15" hidden="false" customHeight="false" outlineLevel="0" collapsed="false">
      <c r="A134" s="30"/>
      <c r="B134" s="30"/>
      <c r="C134" s="30"/>
      <c r="D134" s="30"/>
      <c r="E134" s="27"/>
      <c r="F134" s="42"/>
      <c r="G134" s="43"/>
      <c r="H134" s="41"/>
      <c r="I134" s="41"/>
      <c r="J134" s="43"/>
      <c r="K134" s="41"/>
      <c r="L134" s="30"/>
      <c r="M134" s="46" t="str">
        <f aca="false">IF(OR(H134="",E134="",E134=0),"",H134/E134)</f>
        <v/>
      </c>
      <c r="N134" s="24" t="str">
        <f aca="false">IF(OR(M134="",I134="",I134=0),"",M134/I134-1)</f>
        <v/>
      </c>
      <c r="O134" s="48" t="str">
        <f aca="false">IF(OR(J134="",K134="",G134="",K134=0),"",IF(AND(G134-J134&lt;=550,H134/K134-1&gt;=0.25),"Likely flip","Not a flip"))</f>
        <v/>
      </c>
      <c r="P134" s="39" t="str">
        <f aca="false">IF(OR(J134="",G134=""),"",(G134-J134)/30.44)</f>
        <v/>
      </c>
      <c r="Q134" s="46" t="str">
        <f aca="false">IF(O134&lt;&gt;"Likely flip","",H134-K134-E134*'Past Flips'!$E$3-H134*'Past Flips'!$E$4)</f>
        <v/>
      </c>
      <c r="R134" s="24" t="str">
        <f aca="false">IF(OR(Q134="",H134=0),"",Q134/H134)</f>
        <v/>
      </c>
    </row>
    <row r="135" customFormat="false" ht="15" hidden="false" customHeight="false" outlineLevel="0" collapsed="false">
      <c r="A135" s="30"/>
      <c r="B135" s="30"/>
      <c r="C135" s="30"/>
      <c r="D135" s="30"/>
      <c r="E135" s="27"/>
      <c r="F135" s="42"/>
      <c r="G135" s="43"/>
      <c r="H135" s="41"/>
      <c r="I135" s="41"/>
      <c r="J135" s="43"/>
      <c r="K135" s="41"/>
      <c r="L135" s="30"/>
      <c r="M135" s="46" t="str">
        <f aca="false">IF(OR(H135="",E135="",E135=0),"",H135/E135)</f>
        <v/>
      </c>
      <c r="N135" s="24" t="str">
        <f aca="false">IF(OR(M135="",I135="",I135=0),"",M135/I135-1)</f>
        <v/>
      </c>
      <c r="O135" s="48" t="str">
        <f aca="false">IF(OR(J135="",K135="",G135="",K135=0),"",IF(AND(G135-J135&lt;=550,H135/K135-1&gt;=0.25),"Likely flip","Not a flip"))</f>
        <v/>
      </c>
      <c r="P135" s="39" t="str">
        <f aca="false">IF(OR(J135="",G135=""),"",(G135-J135)/30.44)</f>
        <v/>
      </c>
      <c r="Q135" s="46" t="str">
        <f aca="false">IF(O135&lt;&gt;"Likely flip","",H135-K135-E135*'Past Flips'!$E$3-H135*'Past Flips'!$E$4)</f>
        <v/>
      </c>
      <c r="R135" s="24" t="str">
        <f aca="false">IF(OR(Q135="",H135=0),"",Q135/H135)</f>
        <v/>
      </c>
    </row>
    <row r="136" customFormat="false" ht="15" hidden="false" customHeight="false" outlineLevel="0" collapsed="false">
      <c r="A136" s="30"/>
      <c r="B136" s="30"/>
      <c r="C136" s="30"/>
      <c r="D136" s="30"/>
      <c r="E136" s="27"/>
      <c r="F136" s="42"/>
      <c r="G136" s="43"/>
      <c r="H136" s="41"/>
      <c r="I136" s="41"/>
      <c r="J136" s="43"/>
      <c r="K136" s="41"/>
      <c r="L136" s="30"/>
      <c r="M136" s="46" t="str">
        <f aca="false">IF(OR(H136="",E136="",E136=0),"",H136/E136)</f>
        <v/>
      </c>
      <c r="N136" s="24" t="str">
        <f aca="false">IF(OR(M136="",I136="",I136=0),"",M136/I136-1)</f>
        <v/>
      </c>
      <c r="O136" s="48" t="str">
        <f aca="false">IF(OR(J136="",K136="",G136="",K136=0),"",IF(AND(G136-J136&lt;=550,H136/K136-1&gt;=0.25),"Likely flip","Not a flip"))</f>
        <v/>
      </c>
      <c r="P136" s="39" t="str">
        <f aca="false">IF(OR(J136="",G136=""),"",(G136-J136)/30.44)</f>
        <v/>
      </c>
      <c r="Q136" s="46" t="str">
        <f aca="false">IF(O136&lt;&gt;"Likely flip","",H136-K136-E136*'Past Flips'!$E$3-H136*'Past Flips'!$E$4)</f>
        <v/>
      </c>
      <c r="R136" s="24" t="str">
        <f aca="false">IF(OR(Q136="",H136=0),"",Q136/H136)</f>
        <v/>
      </c>
    </row>
    <row r="137" customFormat="false" ht="15" hidden="false" customHeight="false" outlineLevel="0" collapsed="false">
      <c r="A137" s="30"/>
      <c r="B137" s="30"/>
      <c r="C137" s="30"/>
      <c r="D137" s="30"/>
      <c r="E137" s="27"/>
      <c r="F137" s="42"/>
      <c r="G137" s="43"/>
      <c r="H137" s="41"/>
      <c r="I137" s="41"/>
      <c r="J137" s="43"/>
      <c r="K137" s="41"/>
      <c r="L137" s="30"/>
      <c r="M137" s="46" t="str">
        <f aca="false">IF(OR(H137="",E137="",E137=0),"",H137/E137)</f>
        <v/>
      </c>
      <c r="N137" s="24" t="str">
        <f aca="false">IF(OR(M137="",I137="",I137=0),"",M137/I137-1)</f>
        <v/>
      </c>
      <c r="O137" s="48" t="str">
        <f aca="false">IF(OR(J137="",K137="",G137="",K137=0),"",IF(AND(G137-J137&lt;=550,H137/K137-1&gt;=0.25),"Likely flip","Not a flip"))</f>
        <v/>
      </c>
      <c r="P137" s="39" t="str">
        <f aca="false">IF(OR(J137="",G137=""),"",(G137-J137)/30.44)</f>
        <v/>
      </c>
      <c r="Q137" s="46" t="str">
        <f aca="false">IF(O137&lt;&gt;"Likely flip","",H137-K137-E137*'Past Flips'!$E$3-H137*'Past Flips'!$E$4)</f>
        <v/>
      </c>
      <c r="R137" s="24" t="str">
        <f aca="false">IF(OR(Q137="",H137=0),"",Q137/H137)</f>
        <v/>
      </c>
    </row>
    <row r="138" customFormat="false" ht="15" hidden="false" customHeight="false" outlineLevel="0" collapsed="false">
      <c r="A138" s="30"/>
      <c r="B138" s="30"/>
      <c r="C138" s="30"/>
      <c r="D138" s="30"/>
      <c r="E138" s="27"/>
      <c r="F138" s="42"/>
      <c r="G138" s="43"/>
      <c r="H138" s="41"/>
      <c r="I138" s="41"/>
      <c r="J138" s="43"/>
      <c r="K138" s="41"/>
      <c r="L138" s="30"/>
      <c r="M138" s="46" t="str">
        <f aca="false">IF(OR(H138="",E138="",E138=0),"",H138/E138)</f>
        <v/>
      </c>
      <c r="N138" s="24" t="str">
        <f aca="false">IF(OR(M138="",I138="",I138=0),"",M138/I138-1)</f>
        <v/>
      </c>
      <c r="O138" s="48" t="str">
        <f aca="false">IF(OR(J138="",K138="",G138="",K138=0),"",IF(AND(G138-J138&lt;=550,H138/K138-1&gt;=0.25),"Likely flip","Not a flip"))</f>
        <v/>
      </c>
      <c r="P138" s="39" t="str">
        <f aca="false">IF(OR(J138="",G138=""),"",(G138-J138)/30.44)</f>
        <v/>
      </c>
      <c r="Q138" s="46" t="str">
        <f aca="false">IF(O138&lt;&gt;"Likely flip","",H138-K138-E138*'Past Flips'!$E$3-H138*'Past Flips'!$E$4)</f>
        <v/>
      </c>
      <c r="R138" s="24" t="str">
        <f aca="false">IF(OR(Q138="",H138=0),"",Q138/H138)</f>
        <v/>
      </c>
    </row>
    <row r="139" customFormat="false" ht="15" hidden="false" customHeight="false" outlineLevel="0" collapsed="false">
      <c r="A139" s="30"/>
      <c r="B139" s="30"/>
      <c r="C139" s="30"/>
      <c r="D139" s="30"/>
      <c r="E139" s="27"/>
      <c r="F139" s="42"/>
      <c r="G139" s="43"/>
      <c r="H139" s="41"/>
      <c r="I139" s="41"/>
      <c r="J139" s="43"/>
      <c r="K139" s="41"/>
      <c r="L139" s="30"/>
      <c r="M139" s="46" t="str">
        <f aca="false">IF(OR(H139="",E139="",E139=0),"",H139/E139)</f>
        <v/>
      </c>
      <c r="N139" s="24" t="str">
        <f aca="false">IF(OR(M139="",I139="",I139=0),"",M139/I139-1)</f>
        <v/>
      </c>
      <c r="O139" s="48" t="str">
        <f aca="false">IF(OR(J139="",K139="",G139="",K139=0),"",IF(AND(G139-J139&lt;=550,H139/K139-1&gt;=0.25),"Likely flip","Not a flip"))</f>
        <v/>
      </c>
      <c r="P139" s="39" t="str">
        <f aca="false">IF(OR(J139="",G139=""),"",(G139-J139)/30.44)</f>
        <v/>
      </c>
      <c r="Q139" s="46" t="str">
        <f aca="false">IF(O139&lt;&gt;"Likely flip","",H139-K139-E139*'Past Flips'!$E$3-H139*'Past Flips'!$E$4)</f>
        <v/>
      </c>
      <c r="R139" s="24" t="str">
        <f aca="false">IF(OR(Q139="",H139=0),"",Q139/H139)</f>
        <v/>
      </c>
    </row>
    <row r="140" customFormat="false" ht="15" hidden="false" customHeight="false" outlineLevel="0" collapsed="false">
      <c r="A140" s="30"/>
      <c r="B140" s="30"/>
      <c r="C140" s="30"/>
      <c r="D140" s="30"/>
      <c r="E140" s="27"/>
      <c r="F140" s="42"/>
      <c r="G140" s="43"/>
      <c r="H140" s="41"/>
      <c r="I140" s="41"/>
      <c r="J140" s="43"/>
      <c r="K140" s="41"/>
      <c r="L140" s="30"/>
      <c r="M140" s="46" t="str">
        <f aca="false">IF(OR(H140="",E140="",E140=0),"",H140/E140)</f>
        <v/>
      </c>
      <c r="N140" s="24" t="str">
        <f aca="false">IF(OR(M140="",I140="",I140=0),"",M140/I140-1)</f>
        <v/>
      </c>
      <c r="O140" s="48" t="str">
        <f aca="false">IF(OR(J140="",K140="",G140="",K140=0),"",IF(AND(G140-J140&lt;=550,H140/K140-1&gt;=0.25),"Likely flip","Not a flip"))</f>
        <v/>
      </c>
      <c r="P140" s="39" t="str">
        <f aca="false">IF(OR(J140="",G140=""),"",(G140-J140)/30.44)</f>
        <v/>
      </c>
      <c r="Q140" s="46" t="str">
        <f aca="false">IF(O140&lt;&gt;"Likely flip","",H140-K140-E140*'Past Flips'!$E$3-H140*'Past Flips'!$E$4)</f>
        <v/>
      </c>
      <c r="R140" s="24" t="str">
        <f aca="false">IF(OR(Q140="",H140=0),"",Q140/H140)</f>
        <v/>
      </c>
    </row>
    <row r="141" customFormat="false" ht="15" hidden="false" customHeight="false" outlineLevel="0" collapsed="false">
      <c r="A141" s="30"/>
      <c r="B141" s="30"/>
      <c r="C141" s="30"/>
      <c r="D141" s="30"/>
      <c r="E141" s="27"/>
      <c r="F141" s="42"/>
      <c r="G141" s="43"/>
      <c r="H141" s="41"/>
      <c r="I141" s="41"/>
      <c r="J141" s="43"/>
      <c r="K141" s="41"/>
      <c r="L141" s="30"/>
      <c r="M141" s="46" t="str">
        <f aca="false">IF(OR(H141="",E141="",E141=0),"",H141/E141)</f>
        <v/>
      </c>
      <c r="N141" s="24" t="str">
        <f aca="false">IF(OR(M141="",I141="",I141=0),"",M141/I141-1)</f>
        <v/>
      </c>
      <c r="O141" s="48" t="str">
        <f aca="false">IF(OR(J141="",K141="",G141="",K141=0),"",IF(AND(G141-J141&lt;=550,H141/K141-1&gt;=0.25),"Likely flip","Not a flip"))</f>
        <v/>
      </c>
      <c r="P141" s="39" t="str">
        <f aca="false">IF(OR(J141="",G141=""),"",(G141-J141)/30.44)</f>
        <v/>
      </c>
      <c r="Q141" s="46" t="str">
        <f aca="false">IF(O141&lt;&gt;"Likely flip","",H141-K141-E141*'Past Flips'!$E$3-H141*'Past Flips'!$E$4)</f>
        <v/>
      </c>
      <c r="R141" s="24" t="str">
        <f aca="false">IF(OR(Q141="",H141=0),"",Q141/H141)</f>
        <v/>
      </c>
    </row>
    <row r="142" customFormat="false" ht="15" hidden="false" customHeight="false" outlineLevel="0" collapsed="false">
      <c r="A142" s="30"/>
      <c r="B142" s="30"/>
      <c r="C142" s="30"/>
      <c r="D142" s="30"/>
      <c r="E142" s="27"/>
      <c r="F142" s="42"/>
      <c r="G142" s="43"/>
      <c r="H142" s="41"/>
      <c r="I142" s="41"/>
      <c r="J142" s="43"/>
      <c r="K142" s="41"/>
      <c r="L142" s="30"/>
      <c r="M142" s="46" t="str">
        <f aca="false">IF(OR(H142="",E142="",E142=0),"",H142/E142)</f>
        <v/>
      </c>
      <c r="N142" s="24" t="str">
        <f aca="false">IF(OR(M142="",I142="",I142=0),"",M142/I142-1)</f>
        <v/>
      </c>
      <c r="O142" s="48" t="str">
        <f aca="false">IF(OR(J142="",K142="",G142="",K142=0),"",IF(AND(G142-J142&lt;=550,H142/K142-1&gt;=0.25),"Likely flip","Not a flip"))</f>
        <v/>
      </c>
      <c r="P142" s="39" t="str">
        <f aca="false">IF(OR(J142="",G142=""),"",(G142-J142)/30.44)</f>
        <v/>
      </c>
      <c r="Q142" s="46" t="str">
        <f aca="false">IF(O142&lt;&gt;"Likely flip","",H142-K142-E142*'Past Flips'!$E$3-H142*'Past Flips'!$E$4)</f>
        <v/>
      </c>
      <c r="R142" s="24" t="str">
        <f aca="false">IF(OR(Q142="",H142=0),"",Q142/H142)</f>
        <v/>
      </c>
    </row>
    <row r="143" customFormat="false" ht="15" hidden="false" customHeight="false" outlineLevel="0" collapsed="false">
      <c r="A143" s="30"/>
      <c r="B143" s="30"/>
      <c r="C143" s="30"/>
      <c r="D143" s="30"/>
      <c r="E143" s="27"/>
      <c r="F143" s="42"/>
      <c r="G143" s="43"/>
      <c r="H143" s="41"/>
      <c r="I143" s="41"/>
      <c r="J143" s="43"/>
      <c r="K143" s="41"/>
      <c r="L143" s="30"/>
      <c r="M143" s="46" t="str">
        <f aca="false">IF(OR(H143="",E143="",E143=0),"",H143/E143)</f>
        <v/>
      </c>
      <c r="N143" s="24" t="str">
        <f aca="false">IF(OR(M143="",I143="",I143=0),"",M143/I143-1)</f>
        <v/>
      </c>
      <c r="O143" s="48" t="str">
        <f aca="false">IF(OR(J143="",K143="",G143="",K143=0),"",IF(AND(G143-J143&lt;=550,H143/K143-1&gt;=0.25),"Likely flip","Not a flip"))</f>
        <v/>
      </c>
      <c r="P143" s="39" t="str">
        <f aca="false">IF(OR(J143="",G143=""),"",(G143-J143)/30.44)</f>
        <v/>
      </c>
      <c r="Q143" s="46" t="str">
        <f aca="false">IF(O143&lt;&gt;"Likely flip","",H143-K143-E143*'Past Flips'!$E$3-H143*'Past Flips'!$E$4)</f>
        <v/>
      </c>
      <c r="R143" s="24" t="str">
        <f aca="false">IF(OR(Q143="",H143=0),"",Q143/H143)</f>
        <v/>
      </c>
    </row>
    <row r="144" customFormat="false" ht="15" hidden="false" customHeight="false" outlineLevel="0" collapsed="false">
      <c r="A144" s="30"/>
      <c r="B144" s="30"/>
      <c r="C144" s="30"/>
      <c r="D144" s="30"/>
      <c r="E144" s="27"/>
      <c r="F144" s="42"/>
      <c r="G144" s="43"/>
      <c r="H144" s="41"/>
      <c r="I144" s="41"/>
      <c r="J144" s="43"/>
      <c r="K144" s="41"/>
      <c r="L144" s="30"/>
      <c r="M144" s="46" t="str">
        <f aca="false">IF(OR(H144="",E144="",E144=0),"",H144/E144)</f>
        <v/>
      </c>
      <c r="N144" s="24" t="str">
        <f aca="false">IF(OR(M144="",I144="",I144=0),"",M144/I144-1)</f>
        <v/>
      </c>
      <c r="O144" s="48" t="str">
        <f aca="false">IF(OR(J144="",K144="",G144="",K144=0),"",IF(AND(G144-J144&lt;=550,H144/K144-1&gt;=0.25),"Likely flip","Not a flip"))</f>
        <v/>
      </c>
      <c r="P144" s="39" t="str">
        <f aca="false">IF(OR(J144="",G144=""),"",(G144-J144)/30.44)</f>
        <v/>
      </c>
      <c r="Q144" s="46" t="str">
        <f aca="false">IF(O144&lt;&gt;"Likely flip","",H144-K144-E144*'Past Flips'!$E$3-H144*'Past Flips'!$E$4)</f>
        <v/>
      </c>
      <c r="R144" s="24" t="str">
        <f aca="false">IF(OR(Q144="",H144=0),"",Q144/H144)</f>
        <v/>
      </c>
    </row>
    <row r="145" customFormat="false" ht="15" hidden="false" customHeight="false" outlineLevel="0" collapsed="false">
      <c r="A145" s="30"/>
      <c r="B145" s="30"/>
      <c r="C145" s="30"/>
      <c r="D145" s="30"/>
      <c r="E145" s="27"/>
      <c r="F145" s="42"/>
      <c r="G145" s="43"/>
      <c r="H145" s="41"/>
      <c r="I145" s="41"/>
      <c r="J145" s="43"/>
      <c r="K145" s="41"/>
      <c r="L145" s="30"/>
      <c r="M145" s="46" t="str">
        <f aca="false">IF(OR(H145="",E145="",E145=0),"",H145/E145)</f>
        <v/>
      </c>
      <c r="N145" s="24" t="str">
        <f aca="false">IF(OR(M145="",I145="",I145=0),"",M145/I145-1)</f>
        <v/>
      </c>
      <c r="O145" s="48" t="str">
        <f aca="false">IF(OR(J145="",K145="",G145="",K145=0),"",IF(AND(G145-J145&lt;=550,H145/K145-1&gt;=0.25),"Likely flip","Not a flip"))</f>
        <v/>
      </c>
      <c r="P145" s="39" t="str">
        <f aca="false">IF(OR(J145="",G145=""),"",(G145-J145)/30.44)</f>
        <v/>
      </c>
      <c r="Q145" s="46" t="str">
        <f aca="false">IF(O145&lt;&gt;"Likely flip","",H145-K145-E145*'Past Flips'!$E$3-H145*'Past Flips'!$E$4)</f>
        <v/>
      </c>
      <c r="R145" s="24" t="str">
        <f aca="false">IF(OR(Q145="",H145=0),"",Q145/H145)</f>
        <v/>
      </c>
    </row>
    <row r="146" customFormat="false" ht="15" hidden="false" customHeight="false" outlineLevel="0" collapsed="false">
      <c r="A146" s="30"/>
      <c r="B146" s="30"/>
      <c r="C146" s="30"/>
      <c r="D146" s="30"/>
      <c r="E146" s="27"/>
      <c r="F146" s="42"/>
      <c r="G146" s="43"/>
      <c r="H146" s="41"/>
      <c r="I146" s="41"/>
      <c r="J146" s="43"/>
      <c r="K146" s="41"/>
      <c r="L146" s="30"/>
      <c r="M146" s="46" t="str">
        <f aca="false">IF(OR(H146="",E146="",E146=0),"",H146/E146)</f>
        <v/>
      </c>
      <c r="N146" s="24" t="str">
        <f aca="false">IF(OR(M146="",I146="",I146=0),"",M146/I146-1)</f>
        <v/>
      </c>
      <c r="O146" s="48" t="str">
        <f aca="false">IF(OR(J146="",K146="",G146="",K146=0),"",IF(AND(G146-J146&lt;=550,H146/K146-1&gt;=0.25),"Likely flip","Not a flip"))</f>
        <v/>
      </c>
      <c r="P146" s="39" t="str">
        <f aca="false">IF(OR(J146="",G146=""),"",(G146-J146)/30.44)</f>
        <v/>
      </c>
      <c r="Q146" s="46" t="str">
        <f aca="false">IF(O146&lt;&gt;"Likely flip","",H146-K146-E146*'Past Flips'!$E$3-H146*'Past Flips'!$E$4)</f>
        <v/>
      </c>
      <c r="R146" s="24" t="str">
        <f aca="false">IF(OR(Q146="",H146=0),"",Q146/H146)</f>
        <v/>
      </c>
    </row>
    <row r="147" customFormat="false" ht="15" hidden="false" customHeight="false" outlineLevel="0" collapsed="false">
      <c r="A147" s="30"/>
      <c r="B147" s="30"/>
      <c r="C147" s="30"/>
      <c r="D147" s="30"/>
      <c r="E147" s="27"/>
      <c r="F147" s="42"/>
      <c r="G147" s="43"/>
      <c r="H147" s="41"/>
      <c r="I147" s="41"/>
      <c r="J147" s="43"/>
      <c r="K147" s="41"/>
      <c r="L147" s="30"/>
      <c r="M147" s="46" t="str">
        <f aca="false">IF(OR(H147="",E147="",E147=0),"",H147/E147)</f>
        <v/>
      </c>
      <c r="N147" s="24" t="str">
        <f aca="false">IF(OR(M147="",I147="",I147=0),"",M147/I147-1)</f>
        <v/>
      </c>
      <c r="O147" s="48" t="str">
        <f aca="false">IF(OR(J147="",K147="",G147="",K147=0),"",IF(AND(G147-J147&lt;=550,H147/K147-1&gt;=0.25),"Likely flip","Not a flip"))</f>
        <v/>
      </c>
      <c r="P147" s="39" t="str">
        <f aca="false">IF(OR(J147="",G147=""),"",(G147-J147)/30.44)</f>
        <v/>
      </c>
      <c r="Q147" s="46" t="str">
        <f aca="false">IF(O147&lt;&gt;"Likely flip","",H147-K147-E147*'Past Flips'!$E$3-H147*'Past Flips'!$E$4)</f>
        <v/>
      </c>
      <c r="R147" s="24" t="str">
        <f aca="false">IF(OR(Q147="",H147=0),"",Q147/H147)</f>
        <v/>
      </c>
    </row>
    <row r="148" customFormat="false" ht="15" hidden="false" customHeight="false" outlineLevel="0" collapsed="false">
      <c r="A148" s="30"/>
      <c r="B148" s="30"/>
      <c r="C148" s="30"/>
      <c r="D148" s="30"/>
      <c r="E148" s="27"/>
      <c r="F148" s="42"/>
      <c r="G148" s="43"/>
      <c r="H148" s="41"/>
      <c r="I148" s="41"/>
      <c r="J148" s="43"/>
      <c r="K148" s="41"/>
      <c r="L148" s="30"/>
      <c r="M148" s="46" t="str">
        <f aca="false">IF(OR(H148="",E148="",E148=0),"",H148/E148)</f>
        <v/>
      </c>
      <c r="N148" s="24" t="str">
        <f aca="false">IF(OR(M148="",I148="",I148=0),"",M148/I148-1)</f>
        <v/>
      </c>
      <c r="O148" s="48" t="str">
        <f aca="false">IF(OR(J148="",K148="",G148="",K148=0),"",IF(AND(G148-J148&lt;=550,H148/K148-1&gt;=0.25),"Likely flip","Not a flip"))</f>
        <v/>
      </c>
      <c r="P148" s="39" t="str">
        <f aca="false">IF(OR(J148="",G148=""),"",(G148-J148)/30.44)</f>
        <v/>
      </c>
      <c r="Q148" s="46" t="str">
        <f aca="false">IF(O148&lt;&gt;"Likely flip","",H148-K148-E148*'Past Flips'!$E$3-H148*'Past Flips'!$E$4)</f>
        <v/>
      </c>
      <c r="R148" s="24" t="str">
        <f aca="false">IF(OR(Q148="",H148=0),"",Q148/H148)</f>
        <v/>
      </c>
    </row>
    <row r="149" customFormat="false" ht="15" hidden="false" customHeight="false" outlineLevel="0" collapsed="false">
      <c r="A149" s="30"/>
      <c r="B149" s="30"/>
      <c r="C149" s="30"/>
      <c r="D149" s="30"/>
      <c r="E149" s="27"/>
      <c r="F149" s="42"/>
      <c r="G149" s="43"/>
      <c r="H149" s="41"/>
      <c r="I149" s="41"/>
      <c r="J149" s="43"/>
      <c r="K149" s="41"/>
      <c r="L149" s="30"/>
      <c r="M149" s="46" t="str">
        <f aca="false">IF(OR(H149="",E149="",E149=0),"",H149/E149)</f>
        <v/>
      </c>
      <c r="N149" s="24" t="str">
        <f aca="false">IF(OR(M149="",I149="",I149=0),"",M149/I149-1)</f>
        <v/>
      </c>
      <c r="O149" s="48" t="str">
        <f aca="false">IF(OR(J149="",K149="",G149="",K149=0),"",IF(AND(G149-J149&lt;=550,H149/K149-1&gt;=0.25),"Likely flip","Not a flip"))</f>
        <v/>
      </c>
      <c r="P149" s="39" t="str">
        <f aca="false">IF(OR(J149="",G149=""),"",(G149-J149)/30.44)</f>
        <v/>
      </c>
      <c r="Q149" s="46" t="str">
        <f aca="false">IF(O149&lt;&gt;"Likely flip","",H149-K149-E149*'Past Flips'!$E$3-H149*'Past Flips'!$E$4)</f>
        <v/>
      </c>
      <c r="R149" s="24" t="str">
        <f aca="false">IF(OR(Q149="",H149=0),"",Q149/H149)</f>
        <v/>
      </c>
    </row>
    <row r="150" customFormat="false" ht="15" hidden="false" customHeight="false" outlineLevel="0" collapsed="false">
      <c r="A150" s="30"/>
      <c r="B150" s="30"/>
      <c r="C150" s="30"/>
      <c r="D150" s="30"/>
      <c r="E150" s="27"/>
      <c r="F150" s="42"/>
      <c r="G150" s="43"/>
      <c r="H150" s="41"/>
      <c r="I150" s="41"/>
      <c r="J150" s="43"/>
      <c r="K150" s="41"/>
      <c r="L150" s="30"/>
      <c r="M150" s="46" t="str">
        <f aca="false">IF(OR(H150="",E150="",E150=0),"",H150/E150)</f>
        <v/>
      </c>
      <c r="N150" s="24" t="str">
        <f aca="false">IF(OR(M150="",I150="",I150=0),"",M150/I150-1)</f>
        <v/>
      </c>
      <c r="O150" s="48" t="str">
        <f aca="false">IF(OR(J150="",K150="",G150="",K150=0),"",IF(AND(G150-J150&lt;=550,H150/K150-1&gt;=0.25),"Likely flip","Not a flip"))</f>
        <v/>
      </c>
      <c r="P150" s="39" t="str">
        <f aca="false">IF(OR(J150="",G150=""),"",(G150-J150)/30.44)</f>
        <v/>
      </c>
      <c r="Q150" s="46" t="str">
        <f aca="false">IF(O150&lt;&gt;"Likely flip","",H150-K150-E150*'Past Flips'!$E$3-H150*'Past Flips'!$E$4)</f>
        <v/>
      </c>
      <c r="R150" s="24" t="str">
        <f aca="false">IF(OR(Q150="",H150=0),"",Q150/H150)</f>
        <v/>
      </c>
    </row>
    <row r="151" customFormat="false" ht="15" hidden="false" customHeight="false" outlineLevel="0" collapsed="false">
      <c r="A151" s="30"/>
      <c r="B151" s="30"/>
      <c r="C151" s="30"/>
      <c r="D151" s="30"/>
      <c r="E151" s="27"/>
      <c r="F151" s="42"/>
      <c r="G151" s="43"/>
      <c r="H151" s="41"/>
      <c r="I151" s="41"/>
      <c r="J151" s="43"/>
      <c r="K151" s="41"/>
      <c r="L151" s="30"/>
      <c r="M151" s="46" t="str">
        <f aca="false">IF(OR(H151="",E151="",E151=0),"",H151/E151)</f>
        <v/>
      </c>
      <c r="N151" s="24" t="str">
        <f aca="false">IF(OR(M151="",I151="",I151=0),"",M151/I151-1)</f>
        <v/>
      </c>
      <c r="O151" s="48" t="str">
        <f aca="false">IF(OR(J151="",K151="",G151="",K151=0),"",IF(AND(G151-J151&lt;=550,H151/K151-1&gt;=0.25),"Likely flip","Not a flip"))</f>
        <v/>
      </c>
      <c r="P151" s="39" t="str">
        <f aca="false">IF(OR(J151="",G151=""),"",(G151-J151)/30.44)</f>
        <v/>
      </c>
      <c r="Q151" s="46" t="str">
        <f aca="false">IF(O151&lt;&gt;"Likely flip","",H151-K151-E151*'Past Flips'!$E$3-H151*'Past Flips'!$E$4)</f>
        <v/>
      </c>
      <c r="R151" s="24" t="str">
        <f aca="false">IF(OR(Q151="",H151=0),"",Q151/H151)</f>
        <v/>
      </c>
    </row>
    <row r="152" customFormat="false" ht="15" hidden="false" customHeight="false" outlineLevel="0" collapsed="false">
      <c r="A152" s="30"/>
      <c r="B152" s="30"/>
      <c r="C152" s="30"/>
      <c r="D152" s="30"/>
      <c r="E152" s="27"/>
      <c r="F152" s="42"/>
      <c r="G152" s="43"/>
      <c r="H152" s="41"/>
      <c r="I152" s="41"/>
      <c r="J152" s="43"/>
      <c r="K152" s="41"/>
      <c r="L152" s="30"/>
      <c r="M152" s="46" t="str">
        <f aca="false">IF(OR(H152="",E152="",E152=0),"",H152/E152)</f>
        <v/>
      </c>
      <c r="N152" s="24" t="str">
        <f aca="false">IF(OR(M152="",I152="",I152=0),"",M152/I152-1)</f>
        <v/>
      </c>
      <c r="O152" s="48" t="str">
        <f aca="false">IF(OR(J152="",K152="",G152="",K152=0),"",IF(AND(G152-J152&lt;=550,H152/K152-1&gt;=0.25),"Likely flip","Not a flip"))</f>
        <v/>
      </c>
      <c r="P152" s="39" t="str">
        <f aca="false">IF(OR(J152="",G152=""),"",(G152-J152)/30.44)</f>
        <v/>
      </c>
      <c r="Q152" s="46" t="str">
        <f aca="false">IF(O152&lt;&gt;"Likely flip","",H152-K152-E152*'Past Flips'!$E$3-H152*'Past Flips'!$E$4)</f>
        <v/>
      </c>
      <c r="R152" s="24" t="str">
        <f aca="false">IF(OR(Q152="",H152=0),"",Q152/H152)</f>
        <v/>
      </c>
    </row>
    <row r="153" customFormat="false" ht="15" hidden="false" customHeight="false" outlineLevel="0" collapsed="false">
      <c r="A153" s="30"/>
      <c r="B153" s="30"/>
      <c r="C153" s="30"/>
      <c r="D153" s="30"/>
      <c r="E153" s="27"/>
      <c r="F153" s="42"/>
      <c r="G153" s="43"/>
      <c r="H153" s="41"/>
      <c r="I153" s="41"/>
      <c r="J153" s="43"/>
      <c r="K153" s="41"/>
      <c r="L153" s="30"/>
      <c r="M153" s="46" t="str">
        <f aca="false">IF(OR(H153="",E153="",E153=0),"",H153/E153)</f>
        <v/>
      </c>
      <c r="N153" s="24" t="str">
        <f aca="false">IF(OR(M153="",I153="",I153=0),"",M153/I153-1)</f>
        <v/>
      </c>
      <c r="O153" s="48" t="str">
        <f aca="false">IF(OR(J153="",K153="",G153="",K153=0),"",IF(AND(G153-J153&lt;=550,H153/K153-1&gt;=0.25),"Likely flip","Not a flip"))</f>
        <v/>
      </c>
      <c r="P153" s="39" t="str">
        <f aca="false">IF(OR(J153="",G153=""),"",(G153-J153)/30.44)</f>
        <v/>
      </c>
      <c r="Q153" s="46" t="str">
        <f aca="false">IF(O153&lt;&gt;"Likely flip","",H153-K153-E153*'Past Flips'!$E$3-H153*'Past Flips'!$E$4)</f>
        <v/>
      </c>
      <c r="R153" s="24" t="str">
        <f aca="false">IF(OR(Q153="",H153=0),"",Q153/H153)</f>
        <v/>
      </c>
    </row>
    <row r="154" customFormat="false" ht="15" hidden="false" customHeight="false" outlineLevel="0" collapsed="false">
      <c r="A154" s="30"/>
      <c r="B154" s="30"/>
      <c r="C154" s="30"/>
      <c r="D154" s="30"/>
      <c r="E154" s="27"/>
      <c r="F154" s="42"/>
      <c r="G154" s="43"/>
      <c r="H154" s="41"/>
      <c r="I154" s="41"/>
      <c r="J154" s="43"/>
      <c r="K154" s="41"/>
      <c r="L154" s="30"/>
      <c r="M154" s="46" t="str">
        <f aca="false">IF(OR(H154="",E154="",E154=0),"",H154/E154)</f>
        <v/>
      </c>
      <c r="N154" s="24" t="str">
        <f aca="false">IF(OR(M154="",I154="",I154=0),"",M154/I154-1)</f>
        <v/>
      </c>
      <c r="O154" s="48" t="str">
        <f aca="false">IF(OR(J154="",K154="",G154="",K154=0),"",IF(AND(G154-J154&lt;=550,H154/K154-1&gt;=0.25),"Likely flip","Not a flip"))</f>
        <v/>
      </c>
      <c r="P154" s="39" t="str">
        <f aca="false">IF(OR(J154="",G154=""),"",(G154-J154)/30.44)</f>
        <v/>
      </c>
      <c r="Q154" s="46" t="str">
        <f aca="false">IF(O154&lt;&gt;"Likely flip","",H154-K154-E154*'Past Flips'!$E$3-H154*'Past Flips'!$E$4)</f>
        <v/>
      </c>
      <c r="R154" s="24" t="str">
        <f aca="false">IF(OR(Q154="",H154=0),"",Q154/H154)</f>
        <v/>
      </c>
    </row>
    <row r="155" customFormat="false" ht="15" hidden="false" customHeight="false" outlineLevel="0" collapsed="false">
      <c r="A155" s="30"/>
      <c r="B155" s="30"/>
      <c r="C155" s="30"/>
      <c r="D155" s="30"/>
      <c r="E155" s="27"/>
      <c r="F155" s="42"/>
      <c r="G155" s="43"/>
      <c r="H155" s="41"/>
      <c r="I155" s="41"/>
      <c r="J155" s="43"/>
      <c r="K155" s="41"/>
      <c r="L155" s="30"/>
      <c r="M155" s="46" t="str">
        <f aca="false">IF(OR(H155="",E155="",E155=0),"",H155/E155)</f>
        <v/>
      </c>
      <c r="N155" s="24" t="str">
        <f aca="false">IF(OR(M155="",I155="",I155=0),"",M155/I155-1)</f>
        <v/>
      </c>
      <c r="O155" s="48" t="str">
        <f aca="false">IF(OR(J155="",K155="",G155="",K155=0),"",IF(AND(G155-J155&lt;=550,H155/K155-1&gt;=0.25),"Likely flip","Not a flip"))</f>
        <v/>
      </c>
      <c r="P155" s="39" t="str">
        <f aca="false">IF(OR(J155="",G155=""),"",(G155-J155)/30.44)</f>
        <v/>
      </c>
      <c r="Q155" s="46" t="str">
        <f aca="false">IF(O155&lt;&gt;"Likely flip","",H155-K155-E155*'Past Flips'!$E$3-H155*'Past Flips'!$E$4)</f>
        <v/>
      </c>
      <c r="R155" s="24" t="str">
        <f aca="false">IF(OR(Q155="",H155=0),"",Q155/H155)</f>
        <v/>
      </c>
    </row>
    <row r="156" customFormat="false" ht="15" hidden="false" customHeight="false" outlineLevel="0" collapsed="false">
      <c r="A156" s="30"/>
      <c r="B156" s="30"/>
      <c r="C156" s="30"/>
      <c r="D156" s="30"/>
      <c r="E156" s="27"/>
      <c r="F156" s="42"/>
      <c r="G156" s="43"/>
      <c r="H156" s="41"/>
      <c r="I156" s="41"/>
      <c r="J156" s="43"/>
      <c r="K156" s="41"/>
      <c r="L156" s="30"/>
      <c r="M156" s="46" t="str">
        <f aca="false">IF(OR(H156="",E156="",E156=0),"",H156/E156)</f>
        <v/>
      </c>
      <c r="N156" s="24" t="str">
        <f aca="false">IF(OR(M156="",I156="",I156=0),"",M156/I156-1)</f>
        <v/>
      </c>
      <c r="O156" s="48" t="str">
        <f aca="false">IF(OR(J156="",K156="",G156="",K156=0),"",IF(AND(G156-J156&lt;=550,H156/K156-1&gt;=0.25),"Likely flip","Not a flip"))</f>
        <v/>
      </c>
      <c r="P156" s="39" t="str">
        <f aca="false">IF(OR(J156="",G156=""),"",(G156-J156)/30.44)</f>
        <v/>
      </c>
      <c r="Q156" s="46" t="str">
        <f aca="false">IF(O156&lt;&gt;"Likely flip","",H156-K156-E156*'Past Flips'!$E$3-H156*'Past Flips'!$E$4)</f>
        <v/>
      </c>
      <c r="R156" s="24" t="str">
        <f aca="false">IF(OR(Q156="",H156=0),"",Q156/H156)</f>
        <v/>
      </c>
    </row>
    <row r="157" customFormat="false" ht="15" hidden="false" customHeight="false" outlineLevel="0" collapsed="false">
      <c r="A157" s="30"/>
      <c r="B157" s="30"/>
      <c r="C157" s="30"/>
      <c r="D157" s="30"/>
      <c r="E157" s="27"/>
      <c r="F157" s="42"/>
      <c r="G157" s="43"/>
      <c r="H157" s="41"/>
      <c r="I157" s="41"/>
      <c r="J157" s="43"/>
      <c r="K157" s="41"/>
      <c r="L157" s="30"/>
      <c r="M157" s="46" t="str">
        <f aca="false">IF(OR(H157="",E157="",E157=0),"",H157/E157)</f>
        <v/>
      </c>
      <c r="N157" s="24" t="str">
        <f aca="false">IF(OR(M157="",I157="",I157=0),"",M157/I157-1)</f>
        <v/>
      </c>
      <c r="O157" s="48" t="str">
        <f aca="false">IF(OR(J157="",K157="",G157="",K157=0),"",IF(AND(G157-J157&lt;=550,H157/K157-1&gt;=0.25),"Likely flip","Not a flip"))</f>
        <v/>
      </c>
      <c r="P157" s="39" t="str">
        <f aca="false">IF(OR(J157="",G157=""),"",(G157-J157)/30.44)</f>
        <v/>
      </c>
      <c r="Q157" s="46" t="str">
        <f aca="false">IF(O157&lt;&gt;"Likely flip","",H157-K157-E157*'Past Flips'!$E$3-H157*'Past Flips'!$E$4)</f>
        <v/>
      </c>
      <c r="R157" s="24" t="str">
        <f aca="false">IF(OR(Q157="",H157=0),"",Q157/H157)</f>
        <v/>
      </c>
    </row>
    <row r="158" customFormat="false" ht="15" hidden="false" customHeight="false" outlineLevel="0" collapsed="false">
      <c r="A158" s="30"/>
      <c r="B158" s="30"/>
      <c r="C158" s="30"/>
      <c r="D158" s="30"/>
      <c r="E158" s="27"/>
      <c r="F158" s="42"/>
      <c r="G158" s="43"/>
      <c r="H158" s="41"/>
      <c r="I158" s="41"/>
      <c r="J158" s="43"/>
      <c r="K158" s="41"/>
      <c r="L158" s="30"/>
      <c r="M158" s="46" t="str">
        <f aca="false">IF(OR(H158="",E158="",E158=0),"",H158/E158)</f>
        <v/>
      </c>
      <c r="N158" s="24" t="str">
        <f aca="false">IF(OR(M158="",I158="",I158=0),"",M158/I158-1)</f>
        <v/>
      </c>
      <c r="O158" s="48" t="str">
        <f aca="false">IF(OR(J158="",K158="",G158="",K158=0),"",IF(AND(G158-J158&lt;=550,H158/K158-1&gt;=0.25),"Likely flip","Not a flip"))</f>
        <v/>
      </c>
      <c r="P158" s="39" t="str">
        <f aca="false">IF(OR(J158="",G158=""),"",(G158-J158)/30.44)</f>
        <v/>
      </c>
      <c r="Q158" s="46" t="str">
        <f aca="false">IF(O158&lt;&gt;"Likely flip","",H158-K158-E158*'Past Flips'!$E$3-H158*'Past Flips'!$E$4)</f>
        <v/>
      </c>
      <c r="R158" s="24" t="str">
        <f aca="false">IF(OR(Q158="",H158=0),"",Q158/H158)</f>
        <v/>
      </c>
    </row>
    <row r="159" customFormat="false" ht="15" hidden="false" customHeight="false" outlineLevel="0" collapsed="false">
      <c r="A159" s="30"/>
      <c r="B159" s="30"/>
      <c r="C159" s="30"/>
      <c r="D159" s="30"/>
      <c r="E159" s="27"/>
      <c r="F159" s="42"/>
      <c r="G159" s="43"/>
      <c r="H159" s="41"/>
      <c r="I159" s="41"/>
      <c r="J159" s="43"/>
      <c r="K159" s="41"/>
      <c r="L159" s="30"/>
      <c r="M159" s="46" t="str">
        <f aca="false">IF(OR(H159="",E159="",E159=0),"",H159/E159)</f>
        <v/>
      </c>
      <c r="N159" s="24" t="str">
        <f aca="false">IF(OR(M159="",I159="",I159=0),"",M159/I159-1)</f>
        <v/>
      </c>
      <c r="O159" s="48" t="str">
        <f aca="false">IF(OR(J159="",K159="",G159="",K159=0),"",IF(AND(G159-J159&lt;=550,H159/K159-1&gt;=0.25),"Likely flip","Not a flip"))</f>
        <v/>
      </c>
      <c r="P159" s="39" t="str">
        <f aca="false">IF(OR(J159="",G159=""),"",(G159-J159)/30.44)</f>
        <v/>
      </c>
      <c r="Q159" s="46" t="str">
        <f aca="false">IF(O159&lt;&gt;"Likely flip","",H159-K159-E159*'Past Flips'!$E$3-H159*'Past Flips'!$E$4)</f>
        <v/>
      </c>
      <c r="R159" s="24" t="str">
        <f aca="false">IF(OR(Q159="",H159=0),"",Q159/H159)</f>
        <v/>
      </c>
    </row>
    <row r="160" customFormat="false" ht="15" hidden="false" customHeight="false" outlineLevel="0" collapsed="false">
      <c r="A160" s="30"/>
      <c r="B160" s="30"/>
      <c r="C160" s="30"/>
      <c r="D160" s="30"/>
      <c r="E160" s="27"/>
      <c r="F160" s="42"/>
      <c r="G160" s="43"/>
      <c r="H160" s="41"/>
      <c r="I160" s="41"/>
      <c r="J160" s="43"/>
      <c r="K160" s="41"/>
      <c r="L160" s="30"/>
      <c r="M160" s="46" t="str">
        <f aca="false">IF(OR(H160="",E160="",E160=0),"",H160/E160)</f>
        <v/>
      </c>
      <c r="N160" s="24" t="str">
        <f aca="false">IF(OR(M160="",I160="",I160=0),"",M160/I160-1)</f>
        <v/>
      </c>
      <c r="O160" s="48" t="str">
        <f aca="false">IF(OR(J160="",K160="",G160="",K160=0),"",IF(AND(G160-J160&lt;=550,H160/K160-1&gt;=0.25),"Likely flip","Not a flip"))</f>
        <v/>
      </c>
      <c r="P160" s="39" t="str">
        <f aca="false">IF(OR(J160="",G160=""),"",(G160-J160)/30.44)</f>
        <v/>
      </c>
      <c r="Q160" s="46" t="str">
        <f aca="false">IF(O160&lt;&gt;"Likely flip","",H160-K160-E160*'Past Flips'!$E$3-H160*'Past Flips'!$E$4)</f>
        <v/>
      </c>
      <c r="R160" s="24" t="str">
        <f aca="false">IF(OR(Q160="",H160=0),"",Q160/H160)</f>
        <v/>
      </c>
    </row>
    <row r="161" customFormat="false" ht="15" hidden="false" customHeight="false" outlineLevel="0" collapsed="false">
      <c r="A161" s="30"/>
      <c r="B161" s="30"/>
      <c r="C161" s="30"/>
      <c r="D161" s="30"/>
      <c r="E161" s="27"/>
      <c r="F161" s="42"/>
      <c r="G161" s="43"/>
      <c r="H161" s="41"/>
      <c r="I161" s="41"/>
      <c r="J161" s="43"/>
      <c r="K161" s="41"/>
      <c r="L161" s="30"/>
      <c r="M161" s="46" t="str">
        <f aca="false">IF(OR(H161="",E161="",E161=0),"",H161/E161)</f>
        <v/>
      </c>
      <c r="N161" s="24" t="str">
        <f aca="false">IF(OR(M161="",I161="",I161=0),"",M161/I161-1)</f>
        <v/>
      </c>
      <c r="O161" s="48" t="str">
        <f aca="false">IF(OR(J161="",K161="",G161="",K161=0),"",IF(AND(G161-J161&lt;=550,H161/K161-1&gt;=0.25),"Likely flip","Not a flip"))</f>
        <v/>
      </c>
      <c r="P161" s="39" t="str">
        <f aca="false">IF(OR(J161="",G161=""),"",(G161-J161)/30.44)</f>
        <v/>
      </c>
      <c r="Q161" s="46" t="str">
        <f aca="false">IF(O161&lt;&gt;"Likely flip","",H161-K161-E161*'Past Flips'!$E$3-H161*'Past Flips'!$E$4)</f>
        <v/>
      </c>
      <c r="R161" s="24" t="str">
        <f aca="false">IF(OR(Q161="",H161=0),"",Q161/H161)</f>
        <v/>
      </c>
    </row>
    <row r="162" customFormat="false" ht="15" hidden="false" customHeight="false" outlineLevel="0" collapsed="false">
      <c r="A162" s="30"/>
      <c r="B162" s="30"/>
      <c r="C162" s="30"/>
      <c r="D162" s="30"/>
      <c r="E162" s="27"/>
      <c r="F162" s="42"/>
      <c r="G162" s="43"/>
      <c r="H162" s="41"/>
      <c r="I162" s="41"/>
      <c r="J162" s="43"/>
      <c r="K162" s="41"/>
      <c r="L162" s="30"/>
      <c r="M162" s="46" t="str">
        <f aca="false">IF(OR(H162="",E162="",E162=0),"",H162/E162)</f>
        <v/>
      </c>
      <c r="N162" s="24" t="str">
        <f aca="false">IF(OR(M162="",I162="",I162=0),"",M162/I162-1)</f>
        <v/>
      </c>
      <c r="O162" s="48" t="str">
        <f aca="false">IF(OR(J162="",K162="",G162="",K162=0),"",IF(AND(G162-J162&lt;=550,H162/K162-1&gt;=0.25),"Likely flip","Not a flip"))</f>
        <v/>
      </c>
      <c r="P162" s="39" t="str">
        <f aca="false">IF(OR(J162="",G162=""),"",(G162-J162)/30.44)</f>
        <v/>
      </c>
      <c r="Q162" s="46" t="str">
        <f aca="false">IF(O162&lt;&gt;"Likely flip","",H162-K162-E162*'Past Flips'!$E$3-H162*'Past Flips'!$E$4)</f>
        <v/>
      </c>
      <c r="R162" s="24" t="str">
        <f aca="false">IF(OR(Q162="",H162=0),"",Q162/H162)</f>
        <v/>
      </c>
    </row>
    <row r="163" customFormat="false" ht="15" hidden="false" customHeight="false" outlineLevel="0" collapsed="false">
      <c r="A163" s="30"/>
      <c r="B163" s="30"/>
      <c r="C163" s="30"/>
      <c r="D163" s="30"/>
      <c r="E163" s="27"/>
      <c r="F163" s="42"/>
      <c r="G163" s="43"/>
      <c r="H163" s="41"/>
      <c r="I163" s="41"/>
      <c r="J163" s="43"/>
      <c r="K163" s="41"/>
      <c r="L163" s="30"/>
      <c r="M163" s="46" t="str">
        <f aca="false">IF(OR(H163="",E163="",E163=0),"",H163/E163)</f>
        <v/>
      </c>
      <c r="N163" s="24" t="str">
        <f aca="false">IF(OR(M163="",I163="",I163=0),"",M163/I163-1)</f>
        <v/>
      </c>
      <c r="O163" s="48" t="str">
        <f aca="false">IF(OR(J163="",K163="",G163="",K163=0),"",IF(AND(G163-J163&lt;=550,H163/K163-1&gt;=0.25),"Likely flip","Not a flip"))</f>
        <v/>
      </c>
      <c r="P163" s="39" t="str">
        <f aca="false">IF(OR(J163="",G163=""),"",(G163-J163)/30.44)</f>
        <v/>
      </c>
      <c r="Q163" s="46" t="str">
        <f aca="false">IF(O163&lt;&gt;"Likely flip","",H163-K163-E163*'Past Flips'!$E$3-H163*'Past Flips'!$E$4)</f>
        <v/>
      </c>
      <c r="R163" s="24" t="str">
        <f aca="false">IF(OR(Q163="",H163=0),"",Q163/H163)</f>
        <v/>
      </c>
    </row>
    <row r="164" customFormat="false" ht="15" hidden="false" customHeight="false" outlineLevel="0" collapsed="false">
      <c r="A164" s="30"/>
      <c r="B164" s="30"/>
      <c r="C164" s="30"/>
      <c r="D164" s="30"/>
      <c r="E164" s="27"/>
      <c r="F164" s="42"/>
      <c r="G164" s="43"/>
      <c r="H164" s="41"/>
      <c r="I164" s="41"/>
      <c r="J164" s="43"/>
      <c r="K164" s="41"/>
      <c r="L164" s="30"/>
      <c r="M164" s="46" t="str">
        <f aca="false">IF(OR(H164="",E164="",E164=0),"",H164/E164)</f>
        <v/>
      </c>
      <c r="N164" s="24" t="str">
        <f aca="false">IF(OR(M164="",I164="",I164=0),"",M164/I164-1)</f>
        <v/>
      </c>
      <c r="O164" s="48" t="str">
        <f aca="false">IF(OR(J164="",K164="",G164="",K164=0),"",IF(AND(G164-J164&lt;=550,H164/K164-1&gt;=0.25),"Likely flip","Not a flip"))</f>
        <v/>
      </c>
      <c r="P164" s="39" t="str">
        <f aca="false">IF(OR(J164="",G164=""),"",(G164-J164)/30.44)</f>
        <v/>
      </c>
      <c r="Q164" s="46" t="str">
        <f aca="false">IF(O164&lt;&gt;"Likely flip","",H164-K164-E164*'Past Flips'!$E$3-H164*'Past Flips'!$E$4)</f>
        <v/>
      </c>
      <c r="R164" s="24" t="str">
        <f aca="false">IF(OR(Q164="",H164=0),"",Q164/H164)</f>
        <v/>
      </c>
    </row>
    <row r="165" customFormat="false" ht="15" hidden="false" customHeight="false" outlineLevel="0" collapsed="false">
      <c r="A165" s="30"/>
      <c r="B165" s="30"/>
      <c r="C165" s="30"/>
      <c r="D165" s="30"/>
      <c r="E165" s="27"/>
      <c r="F165" s="42"/>
      <c r="G165" s="43"/>
      <c r="H165" s="41"/>
      <c r="I165" s="41"/>
      <c r="J165" s="43"/>
      <c r="K165" s="41"/>
      <c r="L165" s="30"/>
      <c r="M165" s="46" t="str">
        <f aca="false">IF(OR(H165="",E165="",E165=0),"",H165/E165)</f>
        <v/>
      </c>
      <c r="N165" s="24" t="str">
        <f aca="false">IF(OR(M165="",I165="",I165=0),"",M165/I165-1)</f>
        <v/>
      </c>
      <c r="O165" s="48" t="str">
        <f aca="false">IF(OR(J165="",K165="",G165="",K165=0),"",IF(AND(G165-J165&lt;=550,H165/K165-1&gt;=0.25),"Likely flip","Not a flip"))</f>
        <v/>
      </c>
      <c r="P165" s="39" t="str">
        <f aca="false">IF(OR(J165="",G165=""),"",(G165-J165)/30.44)</f>
        <v/>
      </c>
      <c r="Q165" s="46" t="str">
        <f aca="false">IF(O165&lt;&gt;"Likely flip","",H165-K165-E165*'Past Flips'!$E$3-H165*'Past Flips'!$E$4)</f>
        <v/>
      </c>
      <c r="R165" s="24" t="str">
        <f aca="false">IF(OR(Q165="",H165=0),"",Q165/H165)</f>
        <v/>
      </c>
    </row>
    <row r="166" customFormat="false" ht="15" hidden="false" customHeight="false" outlineLevel="0" collapsed="false">
      <c r="A166" s="30"/>
      <c r="B166" s="30"/>
      <c r="C166" s="30"/>
      <c r="D166" s="30"/>
      <c r="E166" s="27"/>
      <c r="F166" s="42"/>
      <c r="G166" s="43"/>
      <c r="H166" s="41"/>
      <c r="I166" s="41"/>
      <c r="J166" s="43"/>
      <c r="K166" s="41"/>
      <c r="L166" s="30"/>
      <c r="M166" s="46" t="str">
        <f aca="false">IF(OR(H166="",E166="",E166=0),"",H166/E166)</f>
        <v/>
      </c>
      <c r="N166" s="24" t="str">
        <f aca="false">IF(OR(M166="",I166="",I166=0),"",M166/I166-1)</f>
        <v/>
      </c>
      <c r="O166" s="48" t="str">
        <f aca="false">IF(OR(J166="",K166="",G166="",K166=0),"",IF(AND(G166-J166&lt;=550,H166/K166-1&gt;=0.25),"Likely flip","Not a flip"))</f>
        <v/>
      </c>
      <c r="P166" s="39" t="str">
        <f aca="false">IF(OR(J166="",G166=""),"",(G166-J166)/30.44)</f>
        <v/>
      </c>
      <c r="Q166" s="46" t="str">
        <f aca="false">IF(O166&lt;&gt;"Likely flip","",H166-K166-E166*'Past Flips'!$E$3-H166*'Past Flips'!$E$4)</f>
        <v/>
      </c>
      <c r="R166" s="24" t="str">
        <f aca="false">IF(OR(Q166="",H166=0),"",Q166/H166)</f>
        <v/>
      </c>
    </row>
    <row r="167" customFormat="false" ht="15" hidden="false" customHeight="false" outlineLevel="0" collapsed="false">
      <c r="A167" s="30"/>
      <c r="B167" s="30"/>
      <c r="C167" s="30"/>
      <c r="D167" s="30"/>
      <c r="E167" s="27"/>
      <c r="F167" s="42"/>
      <c r="G167" s="43"/>
      <c r="H167" s="41"/>
      <c r="I167" s="41"/>
      <c r="J167" s="43"/>
      <c r="K167" s="41"/>
      <c r="L167" s="30"/>
      <c r="M167" s="46" t="str">
        <f aca="false">IF(OR(H167="",E167="",E167=0),"",H167/E167)</f>
        <v/>
      </c>
      <c r="N167" s="24" t="str">
        <f aca="false">IF(OR(M167="",I167="",I167=0),"",M167/I167-1)</f>
        <v/>
      </c>
      <c r="O167" s="48" t="str">
        <f aca="false">IF(OR(J167="",K167="",G167="",K167=0),"",IF(AND(G167-J167&lt;=550,H167/K167-1&gt;=0.25),"Likely flip","Not a flip"))</f>
        <v/>
      </c>
      <c r="P167" s="39" t="str">
        <f aca="false">IF(OR(J167="",G167=""),"",(G167-J167)/30.44)</f>
        <v/>
      </c>
      <c r="Q167" s="46" t="str">
        <f aca="false">IF(O167&lt;&gt;"Likely flip","",H167-K167-E167*'Past Flips'!$E$3-H167*'Past Flips'!$E$4)</f>
        <v/>
      </c>
      <c r="R167" s="24" t="str">
        <f aca="false">IF(OR(Q167="",H167=0),"",Q167/H167)</f>
        <v/>
      </c>
    </row>
    <row r="168" customFormat="false" ht="15" hidden="false" customHeight="false" outlineLevel="0" collapsed="false">
      <c r="A168" s="30"/>
      <c r="B168" s="30"/>
      <c r="C168" s="30"/>
      <c r="D168" s="30"/>
      <c r="E168" s="27"/>
      <c r="F168" s="42"/>
      <c r="G168" s="43"/>
      <c r="H168" s="41"/>
      <c r="I168" s="41"/>
      <c r="J168" s="43"/>
      <c r="K168" s="41"/>
      <c r="L168" s="30"/>
      <c r="M168" s="46" t="str">
        <f aca="false">IF(OR(H168="",E168="",E168=0),"",H168/E168)</f>
        <v/>
      </c>
      <c r="N168" s="24" t="str">
        <f aca="false">IF(OR(M168="",I168="",I168=0),"",M168/I168-1)</f>
        <v/>
      </c>
      <c r="O168" s="48" t="str">
        <f aca="false">IF(OR(J168="",K168="",G168="",K168=0),"",IF(AND(G168-J168&lt;=550,H168/K168-1&gt;=0.25),"Likely flip","Not a flip"))</f>
        <v/>
      </c>
      <c r="P168" s="39" t="str">
        <f aca="false">IF(OR(J168="",G168=""),"",(G168-J168)/30.44)</f>
        <v/>
      </c>
      <c r="Q168" s="46" t="str">
        <f aca="false">IF(O168&lt;&gt;"Likely flip","",H168-K168-E168*'Past Flips'!$E$3-H168*'Past Flips'!$E$4)</f>
        <v/>
      </c>
      <c r="R168" s="24" t="str">
        <f aca="false">IF(OR(Q168="",H168=0),"",Q168/H168)</f>
        <v/>
      </c>
    </row>
    <row r="169" customFormat="false" ht="15" hidden="false" customHeight="false" outlineLevel="0" collapsed="false">
      <c r="A169" s="30"/>
      <c r="B169" s="30"/>
      <c r="C169" s="30"/>
      <c r="D169" s="30"/>
      <c r="E169" s="27"/>
      <c r="F169" s="42"/>
      <c r="G169" s="43"/>
      <c r="H169" s="41"/>
      <c r="I169" s="41"/>
      <c r="J169" s="43"/>
      <c r="K169" s="41"/>
      <c r="L169" s="30"/>
      <c r="M169" s="46" t="str">
        <f aca="false">IF(OR(H169="",E169="",E169=0),"",H169/E169)</f>
        <v/>
      </c>
      <c r="N169" s="24" t="str">
        <f aca="false">IF(OR(M169="",I169="",I169=0),"",M169/I169-1)</f>
        <v/>
      </c>
      <c r="O169" s="48" t="str">
        <f aca="false">IF(OR(J169="",K169="",G169="",K169=0),"",IF(AND(G169-J169&lt;=550,H169/K169-1&gt;=0.25),"Likely flip","Not a flip"))</f>
        <v/>
      </c>
      <c r="P169" s="39" t="str">
        <f aca="false">IF(OR(J169="",G169=""),"",(G169-J169)/30.44)</f>
        <v/>
      </c>
      <c r="Q169" s="46" t="str">
        <f aca="false">IF(O169&lt;&gt;"Likely flip","",H169-K169-E169*'Past Flips'!$E$3-H169*'Past Flips'!$E$4)</f>
        <v/>
      </c>
      <c r="R169" s="24" t="str">
        <f aca="false">IF(OR(Q169="",H169=0),"",Q169/H169)</f>
        <v/>
      </c>
    </row>
    <row r="170" customFormat="false" ht="15" hidden="false" customHeight="false" outlineLevel="0" collapsed="false">
      <c r="A170" s="30"/>
      <c r="B170" s="30"/>
      <c r="C170" s="30"/>
      <c r="D170" s="30"/>
      <c r="E170" s="27"/>
      <c r="F170" s="42"/>
      <c r="G170" s="43"/>
      <c r="H170" s="41"/>
      <c r="I170" s="41"/>
      <c r="J170" s="43"/>
      <c r="K170" s="41"/>
      <c r="L170" s="30"/>
      <c r="M170" s="46" t="str">
        <f aca="false">IF(OR(H170="",E170="",E170=0),"",H170/E170)</f>
        <v/>
      </c>
      <c r="N170" s="24" t="str">
        <f aca="false">IF(OR(M170="",I170="",I170=0),"",M170/I170-1)</f>
        <v/>
      </c>
      <c r="O170" s="48" t="str">
        <f aca="false">IF(OR(J170="",K170="",G170="",K170=0),"",IF(AND(G170-J170&lt;=550,H170/K170-1&gt;=0.25),"Likely flip","Not a flip"))</f>
        <v/>
      </c>
      <c r="P170" s="39" t="str">
        <f aca="false">IF(OR(J170="",G170=""),"",(G170-J170)/30.44)</f>
        <v/>
      </c>
      <c r="Q170" s="46" t="str">
        <f aca="false">IF(O170&lt;&gt;"Likely flip","",H170-K170-E170*'Past Flips'!$E$3-H170*'Past Flips'!$E$4)</f>
        <v/>
      </c>
      <c r="R170" s="24" t="str">
        <f aca="false">IF(OR(Q170="",H170=0),"",Q170/H170)</f>
        <v/>
      </c>
    </row>
    <row r="171" customFormat="false" ht="15" hidden="false" customHeight="false" outlineLevel="0" collapsed="false">
      <c r="A171" s="30"/>
      <c r="B171" s="30"/>
      <c r="C171" s="30"/>
      <c r="D171" s="30"/>
      <c r="E171" s="27"/>
      <c r="F171" s="42"/>
      <c r="G171" s="43"/>
      <c r="H171" s="41"/>
      <c r="I171" s="41"/>
      <c r="J171" s="43"/>
      <c r="K171" s="41"/>
      <c r="L171" s="30"/>
      <c r="M171" s="46" t="str">
        <f aca="false">IF(OR(H171="",E171="",E171=0),"",H171/E171)</f>
        <v/>
      </c>
      <c r="N171" s="24" t="str">
        <f aca="false">IF(OR(M171="",I171="",I171=0),"",M171/I171-1)</f>
        <v/>
      </c>
      <c r="O171" s="48" t="str">
        <f aca="false">IF(OR(J171="",K171="",G171="",K171=0),"",IF(AND(G171-J171&lt;=550,H171/K171-1&gt;=0.25),"Likely flip","Not a flip"))</f>
        <v/>
      </c>
      <c r="P171" s="39" t="str">
        <f aca="false">IF(OR(J171="",G171=""),"",(G171-J171)/30.44)</f>
        <v/>
      </c>
      <c r="Q171" s="46" t="str">
        <f aca="false">IF(O171&lt;&gt;"Likely flip","",H171-K171-E171*'Past Flips'!$E$3-H171*'Past Flips'!$E$4)</f>
        <v/>
      </c>
      <c r="R171" s="24" t="str">
        <f aca="false">IF(OR(Q171="",H171=0),"",Q171/H171)</f>
        <v/>
      </c>
    </row>
    <row r="172" customFormat="false" ht="15" hidden="false" customHeight="false" outlineLevel="0" collapsed="false">
      <c r="A172" s="30"/>
      <c r="B172" s="30"/>
      <c r="C172" s="30"/>
      <c r="D172" s="30"/>
      <c r="E172" s="27"/>
      <c r="F172" s="42"/>
      <c r="G172" s="43"/>
      <c r="H172" s="41"/>
      <c r="I172" s="41"/>
      <c r="J172" s="43"/>
      <c r="K172" s="41"/>
      <c r="L172" s="30"/>
      <c r="M172" s="46" t="str">
        <f aca="false">IF(OR(H172="",E172="",E172=0),"",H172/E172)</f>
        <v/>
      </c>
      <c r="N172" s="24" t="str">
        <f aca="false">IF(OR(M172="",I172="",I172=0),"",M172/I172-1)</f>
        <v/>
      </c>
      <c r="O172" s="48" t="str">
        <f aca="false">IF(OR(J172="",K172="",G172="",K172=0),"",IF(AND(G172-J172&lt;=550,H172/K172-1&gt;=0.25),"Likely flip","Not a flip"))</f>
        <v/>
      </c>
      <c r="P172" s="39" t="str">
        <f aca="false">IF(OR(J172="",G172=""),"",(G172-J172)/30.44)</f>
        <v/>
      </c>
      <c r="Q172" s="46" t="str">
        <f aca="false">IF(O172&lt;&gt;"Likely flip","",H172-K172-E172*'Past Flips'!$E$3-H172*'Past Flips'!$E$4)</f>
        <v/>
      </c>
      <c r="R172" s="24" t="str">
        <f aca="false">IF(OR(Q172="",H172=0),"",Q172/H172)</f>
        <v/>
      </c>
    </row>
    <row r="173" customFormat="false" ht="15" hidden="false" customHeight="false" outlineLevel="0" collapsed="false">
      <c r="A173" s="30"/>
      <c r="B173" s="30"/>
      <c r="C173" s="30"/>
      <c r="D173" s="30"/>
      <c r="E173" s="27"/>
      <c r="F173" s="42"/>
      <c r="G173" s="43"/>
      <c r="H173" s="41"/>
      <c r="I173" s="41"/>
      <c r="J173" s="43"/>
      <c r="K173" s="41"/>
      <c r="L173" s="30"/>
      <c r="M173" s="46" t="str">
        <f aca="false">IF(OR(H173="",E173="",E173=0),"",H173/E173)</f>
        <v/>
      </c>
      <c r="N173" s="24" t="str">
        <f aca="false">IF(OR(M173="",I173="",I173=0),"",M173/I173-1)</f>
        <v/>
      </c>
      <c r="O173" s="48" t="str">
        <f aca="false">IF(OR(J173="",K173="",G173="",K173=0),"",IF(AND(G173-J173&lt;=550,H173/K173-1&gt;=0.25),"Likely flip","Not a flip"))</f>
        <v/>
      </c>
      <c r="P173" s="39" t="str">
        <f aca="false">IF(OR(J173="",G173=""),"",(G173-J173)/30.44)</f>
        <v/>
      </c>
      <c r="Q173" s="46" t="str">
        <f aca="false">IF(O173&lt;&gt;"Likely flip","",H173-K173-E173*'Past Flips'!$E$3-H173*'Past Flips'!$E$4)</f>
        <v/>
      </c>
      <c r="R173" s="24" t="str">
        <f aca="false">IF(OR(Q173="",H173=0),"",Q173/H173)</f>
        <v/>
      </c>
    </row>
    <row r="174" customFormat="false" ht="15" hidden="false" customHeight="false" outlineLevel="0" collapsed="false">
      <c r="A174" s="30"/>
      <c r="B174" s="30"/>
      <c r="C174" s="30"/>
      <c r="D174" s="30"/>
      <c r="E174" s="27"/>
      <c r="F174" s="42"/>
      <c r="G174" s="43"/>
      <c r="H174" s="41"/>
      <c r="I174" s="41"/>
      <c r="J174" s="43"/>
      <c r="K174" s="41"/>
      <c r="L174" s="30"/>
      <c r="M174" s="46" t="str">
        <f aca="false">IF(OR(H174="",E174="",E174=0),"",H174/E174)</f>
        <v/>
      </c>
      <c r="N174" s="24" t="str">
        <f aca="false">IF(OR(M174="",I174="",I174=0),"",M174/I174-1)</f>
        <v/>
      </c>
      <c r="O174" s="48" t="str">
        <f aca="false">IF(OR(J174="",K174="",G174="",K174=0),"",IF(AND(G174-J174&lt;=550,H174/K174-1&gt;=0.25),"Likely flip","Not a flip"))</f>
        <v/>
      </c>
      <c r="P174" s="39" t="str">
        <f aca="false">IF(OR(J174="",G174=""),"",(G174-J174)/30.44)</f>
        <v/>
      </c>
      <c r="Q174" s="46" t="str">
        <f aca="false">IF(O174&lt;&gt;"Likely flip","",H174-K174-E174*'Past Flips'!$E$3-H174*'Past Flips'!$E$4)</f>
        <v/>
      </c>
      <c r="R174" s="24" t="str">
        <f aca="false">IF(OR(Q174="",H174=0),"",Q174/H174)</f>
        <v/>
      </c>
    </row>
    <row r="175" customFormat="false" ht="15" hidden="false" customHeight="false" outlineLevel="0" collapsed="false">
      <c r="A175" s="30"/>
      <c r="B175" s="30"/>
      <c r="C175" s="30"/>
      <c r="D175" s="30"/>
      <c r="E175" s="27"/>
      <c r="F175" s="42"/>
      <c r="G175" s="43"/>
      <c r="H175" s="41"/>
      <c r="I175" s="41"/>
      <c r="J175" s="43"/>
      <c r="K175" s="41"/>
      <c r="L175" s="30"/>
      <c r="M175" s="46" t="str">
        <f aca="false">IF(OR(H175="",E175="",E175=0),"",H175/E175)</f>
        <v/>
      </c>
      <c r="N175" s="24" t="str">
        <f aca="false">IF(OR(M175="",I175="",I175=0),"",M175/I175-1)</f>
        <v/>
      </c>
      <c r="O175" s="48" t="str">
        <f aca="false">IF(OR(J175="",K175="",G175="",K175=0),"",IF(AND(G175-J175&lt;=550,H175/K175-1&gt;=0.25),"Likely flip","Not a flip"))</f>
        <v/>
      </c>
      <c r="P175" s="39" t="str">
        <f aca="false">IF(OR(J175="",G175=""),"",(G175-J175)/30.44)</f>
        <v/>
      </c>
      <c r="Q175" s="46" t="str">
        <f aca="false">IF(O175&lt;&gt;"Likely flip","",H175-K175-E175*'Past Flips'!$E$3-H175*'Past Flips'!$E$4)</f>
        <v/>
      </c>
      <c r="R175" s="24" t="str">
        <f aca="false">IF(OR(Q175="",H175=0),"",Q175/H175)</f>
        <v/>
      </c>
    </row>
    <row r="176" customFormat="false" ht="15" hidden="false" customHeight="false" outlineLevel="0" collapsed="false">
      <c r="A176" s="30"/>
      <c r="B176" s="30"/>
      <c r="C176" s="30"/>
      <c r="D176" s="30"/>
      <c r="E176" s="27"/>
      <c r="F176" s="42"/>
      <c r="G176" s="43"/>
      <c r="H176" s="41"/>
      <c r="I176" s="41"/>
      <c r="J176" s="43"/>
      <c r="K176" s="41"/>
      <c r="L176" s="30"/>
      <c r="M176" s="46" t="str">
        <f aca="false">IF(OR(H176="",E176="",E176=0),"",H176/E176)</f>
        <v/>
      </c>
      <c r="N176" s="24" t="str">
        <f aca="false">IF(OR(M176="",I176="",I176=0),"",M176/I176-1)</f>
        <v/>
      </c>
      <c r="O176" s="48" t="str">
        <f aca="false">IF(OR(J176="",K176="",G176="",K176=0),"",IF(AND(G176-J176&lt;=550,H176/K176-1&gt;=0.25),"Likely flip","Not a flip"))</f>
        <v/>
      </c>
      <c r="P176" s="39" t="str">
        <f aca="false">IF(OR(J176="",G176=""),"",(G176-J176)/30.44)</f>
        <v/>
      </c>
      <c r="Q176" s="46" t="str">
        <f aca="false">IF(O176&lt;&gt;"Likely flip","",H176-K176-E176*'Past Flips'!$E$3-H176*'Past Flips'!$E$4)</f>
        <v/>
      </c>
      <c r="R176" s="24" t="str">
        <f aca="false">IF(OR(Q176="",H176=0),"",Q176/H176)</f>
        <v/>
      </c>
    </row>
    <row r="177" customFormat="false" ht="15" hidden="false" customHeight="false" outlineLevel="0" collapsed="false">
      <c r="A177" s="30"/>
      <c r="B177" s="30"/>
      <c r="C177" s="30"/>
      <c r="D177" s="30"/>
      <c r="E177" s="27"/>
      <c r="F177" s="42"/>
      <c r="G177" s="43"/>
      <c r="H177" s="41"/>
      <c r="I177" s="41"/>
      <c r="J177" s="43"/>
      <c r="K177" s="41"/>
      <c r="L177" s="30"/>
      <c r="M177" s="46" t="str">
        <f aca="false">IF(OR(H177="",E177="",E177=0),"",H177/E177)</f>
        <v/>
      </c>
      <c r="N177" s="24" t="str">
        <f aca="false">IF(OR(M177="",I177="",I177=0),"",M177/I177-1)</f>
        <v/>
      </c>
      <c r="O177" s="48" t="str">
        <f aca="false">IF(OR(J177="",K177="",G177="",K177=0),"",IF(AND(G177-J177&lt;=550,H177/K177-1&gt;=0.25),"Likely flip","Not a flip"))</f>
        <v/>
      </c>
      <c r="P177" s="39" t="str">
        <f aca="false">IF(OR(J177="",G177=""),"",(G177-J177)/30.44)</f>
        <v/>
      </c>
      <c r="Q177" s="46" t="str">
        <f aca="false">IF(O177&lt;&gt;"Likely flip","",H177-K177-E177*'Past Flips'!$E$3-H177*'Past Flips'!$E$4)</f>
        <v/>
      </c>
      <c r="R177" s="24" t="str">
        <f aca="false">IF(OR(Q177="",H177=0),"",Q177/H177)</f>
        <v/>
      </c>
    </row>
    <row r="178" customFormat="false" ht="15" hidden="false" customHeight="false" outlineLevel="0" collapsed="false">
      <c r="A178" s="30"/>
      <c r="B178" s="30"/>
      <c r="C178" s="30"/>
      <c r="D178" s="30"/>
      <c r="E178" s="27"/>
      <c r="F178" s="42"/>
      <c r="G178" s="43"/>
      <c r="H178" s="41"/>
      <c r="I178" s="41"/>
      <c r="J178" s="43"/>
      <c r="K178" s="41"/>
      <c r="L178" s="30"/>
      <c r="M178" s="46" t="str">
        <f aca="false">IF(OR(H178="",E178="",E178=0),"",H178/E178)</f>
        <v/>
      </c>
      <c r="N178" s="24" t="str">
        <f aca="false">IF(OR(M178="",I178="",I178=0),"",M178/I178-1)</f>
        <v/>
      </c>
      <c r="O178" s="48" t="str">
        <f aca="false">IF(OR(J178="",K178="",G178="",K178=0),"",IF(AND(G178-J178&lt;=550,H178/K178-1&gt;=0.25),"Likely flip","Not a flip"))</f>
        <v/>
      </c>
      <c r="P178" s="39" t="str">
        <f aca="false">IF(OR(J178="",G178=""),"",(G178-J178)/30.44)</f>
        <v/>
      </c>
      <c r="Q178" s="46" t="str">
        <f aca="false">IF(O178&lt;&gt;"Likely flip","",H178-K178-E178*'Past Flips'!$E$3-H178*'Past Flips'!$E$4)</f>
        <v/>
      </c>
      <c r="R178" s="24" t="str">
        <f aca="false">IF(OR(Q178="",H178=0),"",Q178/H178)</f>
        <v/>
      </c>
    </row>
    <row r="179" customFormat="false" ht="15" hidden="false" customHeight="false" outlineLevel="0" collapsed="false">
      <c r="A179" s="30"/>
      <c r="B179" s="30"/>
      <c r="C179" s="30"/>
      <c r="D179" s="30"/>
      <c r="E179" s="27"/>
      <c r="F179" s="42"/>
      <c r="G179" s="43"/>
      <c r="H179" s="41"/>
      <c r="I179" s="41"/>
      <c r="J179" s="43"/>
      <c r="K179" s="41"/>
      <c r="L179" s="30"/>
      <c r="M179" s="46" t="str">
        <f aca="false">IF(OR(H179="",E179="",E179=0),"",H179/E179)</f>
        <v/>
      </c>
      <c r="N179" s="24" t="str">
        <f aca="false">IF(OR(M179="",I179="",I179=0),"",M179/I179-1)</f>
        <v/>
      </c>
      <c r="O179" s="48" t="str">
        <f aca="false">IF(OR(J179="",K179="",G179="",K179=0),"",IF(AND(G179-J179&lt;=550,H179/K179-1&gt;=0.25),"Likely flip","Not a flip"))</f>
        <v/>
      </c>
      <c r="P179" s="39" t="str">
        <f aca="false">IF(OR(J179="",G179=""),"",(G179-J179)/30.44)</f>
        <v/>
      </c>
      <c r="Q179" s="46" t="str">
        <f aca="false">IF(O179&lt;&gt;"Likely flip","",H179-K179-E179*'Past Flips'!$E$3-H179*'Past Flips'!$E$4)</f>
        <v/>
      </c>
      <c r="R179" s="24" t="str">
        <f aca="false">IF(OR(Q179="",H179=0),"",Q179/H179)</f>
        <v/>
      </c>
    </row>
    <row r="180" customFormat="false" ht="15" hidden="false" customHeight="false" outlineLevel="0" collapsed="false">
      <c r="A180" s="30"/>
      <c r="B180" s="30"/>
      <c r="C180" s="30"/>
      <c r="D180" s="30"/>
      <c r="E180" s="27"/>
      <c r="F180" s="42"/>
      <c r="G180" s="43"/>
      <c r="H180" s="41"/>
      <c r="I180" s="41"/>
      <c r="J180" s="43"/>
      <c r="K180" s="41"/>
      <c r="L180" s="30"/>
      <c r="M180" s="46" t="str">
        <f aca="false">IF(OR(H180="",E180="",E180=0),"",H180/E180)</f>
        <v/>
      </c>
      <c r="N180" s="24" t="str">
        <f aca="false">IF(OR(M180="",I180="",I180=0),"",M180/I180-1)</f>
        <v/>
      </c>
      <c r="O180" s="48" t="str">
        <f aca="false">IF(OR(J180="",K180="",G180="",K180=0),"",IF(AND(G180-J180&lt;=550,H180/K180-1&gt;=0.25),"Likely flip","Not a flip"))</f>
        <v/>
      </c>
      <c r="P180" s="39" t="str">
        <f aca="false">IF(OR(J180="",G180=""),"",(G180-J180)/30.44)</f>
        <v/>
      </c>
      <c r="Q180" s="46" t="str">
        <f aca="false">IF(O180&lt;&gt;"Likely flip","",H180-K180-E180*'Past Flips'!$E$3-H180*'Past Flips'!$E$4)</f>
        <v/>
      </c>
      <c r="R180" s="24" t="str">
        <f aca="false">IF(OR(Q180="",H180=0),"",Q180/H180)</f>
        <v/>
      </c>
    </row>
    <row r="181" customFormat="false" ht="15" hidden="false" customHeight="false" outlineLevel="0" collapsed="false">
      <c r="A181" s="30"/>
      <c r="B181" s="30"/>
      <c r="C181" s="30"/>
      <c r="D181" s="30"/>
      <c r="E181" s="27"/>
      <c r="F181" s="42"/>
      <c r="G181" s="43"/>
      <c r="H181" s="41"/>
      <c r="I181" s="41"/>
      <c r="J181" s="43"/>
      <c r="K181" s="41"/>
      <c r="L181" s="30"/>
      <c r="M181" s="46" t="str">
        <f aca="false">IF(OR(H181="",E181="",E181=0),"",H181/E181)</f>
        <v/>
      </c>
      <c r="N181" s="24" t="str">
        <f aca="false">IF(OR(M181="",I181="",I181=0),"",M181/I181-1)</f>
        <v/>
      </c>
      <c r="O181" s="48" t="str">
        <f aca="false">IF(OR(J181="",K181="",G181="",K181=0),"",IF(AND(G181-J181&lt;=550,H181/K181-1&gt;=0.25),"Likely flip","Not a flip"))</f>
        <v/>
      </c>
      <c r="P181" s="39" t="str">
        <f aca="false">IF(OR(J181="",G181=""),"",(G181-J181)/30.44)</f>
        <v/>
      </c>
      <c r="Q181" s="46" t="str">
        <f aca="false">IF(O181&lt;&gt;"Likely flip","",H181-K181-E181*'Past Flips'!$E$3-H181*'Past Flips'!$E$4)</f>
        <v/>
      </c>
      <c r="R181" s="24" t="str">
        <f aca="false">IF(OR(Q181="",H181=0),"",Q181/H181)</f>
        <v/>
      </c>
    </row>
    <row r="182" customFormat="false" ht="15" hidden="false" customHeight="false" outlineLevel="0" collapsed="false">
      <c r="A182" s="30"/>
      <c r="B182" s="30"/>
      <c r="C182" s="30"/>
      <c r="D182" s="30"/>
      <c r="E182" s="27"/>
      <c r="F182" s="42"/>
      <c r="G182" s="43"/>
      <c r="H182" s="41"/>
      <c r="I182" s="41"/>
      <c r="J182" s="43"/>
      <c r="K182" s="41"/>
      <c r="L182" s="30"/>
      <c r="M182" s="46" t="str">
        <f aca="false">IF(OR(H182="",E182="",E182=0),"",H182/E182)</f>
        <v/>
      </c>
      <c r="N182" s="24" t="str">
        <f aca="false">IF(OR(M182="",I182="",I182=0),"",M182/I182-1)</f>
        <v/>
      </c>
      <c r="O182" s="48" t="str">
        <f aca="false">IF(OR(J182="",K182="",G182="",K182=0),"",IF(AND(G182-J182&lt;=550,H182/K182-1&gt;=0.25),"Likely flip","Not a flip"))</f>
        <v/>
      </c>
      <c r="P182" s="39" t="str">
        <f aca="false">IF(OR(J182="",G182=""),"",(G182-J182)/30.44)</f>
        <v/>
      </c>
      <c r="Q182" s="46" t="str">
        <f aca="false">IF(O182&lt;&gt;"Likely flip","",H182-K182-E182*'Past Flips'!$E$3-H182*'Past Flips'!$E$4)</f>
        <v/>
      </c>
      <c r="R182" s="24" t="str">
        <f aca="false">IF(OR(Q182="",H182=0),"",Q182/H182)</f>
        <v/>
      </c>
    </row>
    <row r="183" customFormat="false" ht="15" hidden="false" customHeight="false" outlineLevel="0" collapsed="false">
      <c r="A183" s="30"/>
      <c r="B183" s="30"/>
      <c r="C183" s="30"/>
      <c r="D183" s="30"/>
      <c r="E183" s="27"/>
      <c r="F183" s="42"/>
      <c r="G183" s="43"/>
      <c r="H183" s="41"/>
      <c r="I183" s="41"/>
      <c r="J183" s="43"/>
      <c r="K183" s="41"/>
      <c r="L183" s="30"/>
      <c r="M183" s="46" t="str">
        <f aca="false">IF(OR(H183="",E183="",E183=0),"",H183/E183)</f>
        <v/>
      </c>
      <c r="N183" s="24" t="str">
        <f aca="false">IF(OR(M183="",I183="",I183=0),"",M183/I183-1)</f>
        <v/>
      </c>
      <c r="O183" s="48" t="str">
        <f aca="false">IF(OR(J183="",K183="",G183="",K183=0),"",IF(AND(G183-J183&lt;=550,H183/K183-1&gt;=0.25),"Likely flip","Not a flip"))</f>
        <v/>
      </c>
      <c r="P183" s="39" t="str">
        <f aca="false">IF(OR(J183="",G183=""),"",(G183-J183)/30.44)</f>
        <v/>
      </c>
      <c r="Q183" s="46" t="str">
        <f aca="false">IF(O183&lt;&gt;"Likely flip","",H183-K183-E183*'Past Flips'!$E$3-H183*'Past Flips'!$E$4)</f>
        <v/>
      </c>
      <c r="R183" s="24" t="str">
        <f aca="false">IF(OR(Q183="",H183=0),"",Q183/H183)</f>
        <v/>
      </c>
    </row>
    <row r="184" customFormat="false" ht="15" hidden="false" customHeight="false" outlineLevel="0" collapsed="false">
      <c r="A184" s="30"/>
      <c r="B184" s="30"/>
      <c r="C184" s="30"/>
      <c r="D184" s="30"/>
      <c r="E184" s="27"/>
      <c r="F184" s="42"/>
      <c r="G184" s="43"/>
      <c r="H184" s="41"/>
      <c r="I184" s="41"/>
      <c r="J184" s="43"/>
      <c r="K184" s="41"/>
      <c r="L184" s="30"/>
      <c r="M184" s="46" t="str">
        <f aca="false">IF(OR(H184="",E184="",E184=0),"",H184/E184)</f>
        <v/>
      </c>
      <c r="N184" s="24" t="str">
        <f aca="false">IF(OR(M184="",I184="",I184=0),"",M184/I184-1)</f>
        <v/>
      </c>
      <c r="O184" s="48" t="str">
        <f aca="false">IF(OR(J184="",K184="",G184="",K184=0),"",IF(AND(G184-J184&lt;=550,H184/K184-1&gt;=0.25),"Likely flip","Not a flip"))</f>
        <v/>
      </c>
      <c r="P184" s="39" t="str">
        <f aca="false">IF(OR(J184="",G184=""),"",(G184-J184)/30.44)</f>
        <v/>
      </c>
      <c r="Q184" s="46" t="str">
        <f aca="false">IF(O184&lt;&gt;"Likely flip","",H184-K184-E184*'Past Flips'!$E$3-H184*'Past Flips'!$E$4)</f>
        <v/>
      </c>
      <c r="R184" s="24" t="str">
        <f aca="false">IF(OR(Q184="",H184=0),"",Q184/H184)</f>
        <v/>
      </c>
    </row>
    <row r="185" customFormat="false" ht="15" hidden="false" customHeight="false" outlineLevel="0" collapsed="false">
      <c r="A185" s="30"/>
      <c r="B185" s="30"/>
      <c r="C185" s="30"/>
      <c r="D185" s="30"/>
      <c r="E185" s="27"/>
      <c r="F185" s="42"/>
      <c r="G185" s="43"/>
      <c r="H185" s="41"/>
      <c r="I185" s="41"/>
      <c r="J185" s="43"/>
      <c r="K185" s="41"/>
      <c r="L185" s="30"/>
      <c r="M185" s="46" t="str">
        <f aca="false">IF(OR(H185="",E185="",E185=0),"",H185/E185)</f>
        <v/>
      </c>
      <c r="N185" s="24" t="str">
        <f aca="false">IF(OR(M185="",I185="",I185=0),"",M185/I185-1)</f>
        <v/>
      </c>
      <c r="O185" s="48" t="str">
        <f aca="false">IF(OR(J185="",K185="",G185="",K185=0),"",IF(AND(G185-J185&lt;=550,H185/K185-1&gt;=0.25),"Likely flip","Not a flip"))</f>
        <v/>
      </c>
      <c r="P185" s="39" t="str">
        <f aca="false">IF(OR(J185="",G185=""),"",(G185-J185)/30.44)</f>
        <v/>
      </c>
      <c r="Q185" s="46" t="str">
        <f aca="false">IF(O185&lt;&gt;"Likely flip","",H185-K185-E185*'Past Flips'!$E$3-H185*'Past Flips'!$E$4)</f>
        <v/>
      </c>
      <c r="R185" s="24" t="str">
        <f aca="false">IF(OR(Q185="",H185=0),"",Q185/H185)</f>
        <v/>
      </c>
    </row>
    <row r="186" customFormat="false" ht="15" hidden="false" customHeight="false" outlineLevel="0" collapsed="false">
      <c r="A186" s="30"/>
      <c r="B186" s="30"/>
      <c r="C186" s="30"/>
      <c r="D186" s="30"/>
      <c r="E186" s="27"/>
      <c r="F186" s="42"/>
      <c r="G186" s="43"/>
      <c r="H186" s="41"/>
      <c r="I186" s="41"/>
      <c r="J186" s="43"/>
      <c r="K186" s="41"/>
      <c r="L186" s="30"/>
      <c r="M186" s="46" t="str">
        <f aca="false">IF(OR(H186="",E186="",E186=0),"",H186/E186)</f>
        <v/>
      </c>
      <c r="N186" s="24" t="str">
        <f aca="false">IF(OR(M186="",I186="",I186=0),"",M186/I186-1)</f>
        <v/>
      </c>
      <c r="O186" s="48" t="str">
        <f aca="false">IF(OR(J186="",K186="",G186="",K186=0),"",IF(AND(G186-J186&lt;=550,H186/K186-1&gt;=0.25),"Likely flip","Not a flip"))</f>
        <v/>
      </c>
      <c r="P186" s="39" t="str">
        <f aca="false">IF(OR(J186="",G186=""),"",(G186-J186)/30.44)</f>
        <v/>
      </c>
      <c r="Q186" s="46" t="str">
        <f aca="false">IF(O186&lt;&gt;"Likely flip","",H186-K186-E186*'Past Flips'!$E$3-H186*'Past Flips'!$E$4)</f>
        <v/>
      </c>
      <c r="R186" s="24" t="str">
        <f aca="false">IF(OR(Q186="",H186=0),"",Q186/H186)</f>
        <v/>
      </c>
    </row>
    <row r="187" customFormat="false" ht="15" hidden="false" customHeight="false" outlineLevel="0" collapsed="false">
      <c r="A187" s="30"/>
      <c r="B187" s="30"/>
      <c r="C187" s="30"/>
      <c r="D187" s="30"/>
      <c r="E187" s="27"/>
      <c r="F187" s="42"/>
      <c r="G187" s="43"/>
      <c r="H187" s="41"/>
      <c r="I187" s="41"/>
      <c r="J187" s="43"/>
      <c r="K187" s="41"/>
      <c r="L187" s="30"/>
      <c r="M187" s="46" t="str">
        <f aca="false">IF(OR(H187="",E187="",E187=0),"",H187/E187)</f>
        <v/>
      </c>
      <c r="N187" s="24" t="str">
        <f aca="false">IF(OR(M187="",I187="",I187=0),"",M187/I187-1)</f>
        <v/>
      </c>
      <c r="O187" s="48" t="str">
        <f aca="false">IF(OR(J187="",K187="",G187="",K187=0),"",IF(AND(G187-J187&lt;=550,H187/K187-1&gt;=0.25),"Likely flip","Not a flip"))</f>
        <v/>
      </c>
      <c r="P187" s="39" t="str">
        <f aca="false">IF(OR(J187="",G187=""),"",(G187-J187)/30.44)</f>
        <v/>
      </c>
      <c r="Q187" s="46" t="str">
        <f aca="false">IF(O187&lt;&gt;"Likely flip","",H187-K187-E187*'Past Flips'!$E$3-H187*'Past Flips'!$E$4)</f>
        <v/>
      </c>
      <c r="R187" s="24" t="str">
        <f aca="false">IF(OR(Q187="",H187=0),"",Q187/H187)</f>
        <v/>
      </c>
    </row>
    <row r="188" customFormat="false" ht="15" hidden="false" customHeight="false" outlineLevel="0" collapsed="false">
      <c r="A188" s="30"/>
      <c r="B188" s="30"/>
      <c r="C188" s="30"/>
      <c r="D188" s="30"/>
      <c r="E188" s="27"/>
      <c r="F188" s="42"/>
      <c r="G188" s="43"/>
      <c r="H188" s="41"/>
      <c r="I188" s="41"/>
      <c r="J188" s="43"/>
      <c r="K188" s="41"/>
      <c r="L188" s="30"/>
      <c r="M188" s="46" t="str">
        <f aca="false">IF(OR(H188="",E188="",E188=0),"",H188/E188)</f>
        <v/>
      </c>
      <c r="N188" s="24" t="str">
        <f aca="false">IF(OR(M188="",I188="",I188=0),"",M188/I188-1)</f>
        <v/>
      </c>
      <c r="O188" s="48" t="str">
        <f aca="false">IF(OR(J188="",K188="",G188="",K188=0),"",IF(AND(G188-J188&lt;=550,H188/K188-1&gt;=0.25),"Likely flip","Not a flip"))</f>
        <v/>
      </c>
      <c r="P188" s="39" t="str">
        <f aca="false">IF(OR(J188="",G188=""),"",(G188-J188)/30.44)</f>
        <v/>
      </c>
      <c r="Q188" s="46" t="str">
        <f aca="false">IF(O188&lt;&gt;"Likely flip","",H188-K188-E188*'Past Flips'!$E$3-H188*'Past Flips'!$E$4)</f>
        <v/>
      </c>
      <c r="R188" s="24" t="str">
        <f aca="false">IF(OR(Q188="",H188=0),"",Q188/H188)</f>
        <v/>
      </c>
    </row>
    <row r="189" customFormat="false" ht="15" hidden="false" customHeight="false" outlineLevel="0" collapsed="false">
      <c r="A189" s="30"/>
      <c r="B189" s="30"/>
      <c r="C189" s="30"/>
      <c r="D189" s="30"/>
      <c r="E189" s="27"/>
      <c r="F189" s="42"/>
      <c r="G189" s="43"/>
      <c r="H189" s="41"/>
      <c r="I189" s="41"/>
      <c r="J189" s="43"/>
      <c r="K189" s="41"/>
      <c r="L189" s="30"/>
      <c r="M189" s="46" t="str">
        <f aca="false">IF(OR(H189="",E189="",E189=0),"",H189/E189)</f>
        <v/>
      </c>
      <c r="N189" s="24" t="str">
        <f aca="false">IF(OR(M189="",I189="",I189=0),"",M189/I189-1)</f>
        <v/>
      </c>
      <c r="O189" s="48" t="str">
        <f aca="false">IF(OR(J189="",K189="",G189="",K189=0),"",IF(AND(G189-J189&lt;=550,H189/K189-1&gt;=0.25),"Likely flip","Not a flip"))</f>
        <v/>
      </c>
      <c r="P189" s="39" t="str">
        <f aca="false">IF(OR(J189="",G189=""),"",(G189-J189)/30.44)</f>
        <v/>
      </c>
      <c r="Q189" s="46" t="str">
        <f aca="false">IF(O189&lt;&gt;"Likely flip","",H189-K189-E189*'Past Flips'!$E$3-H189*'Past Flips'!$E$4)</f>
        <v/>
      </c>
      <c r="R189" s="24" t="str">
        <f aca="false">IF(OR(Q189="",H189=0),"",Q189/H189)</f>
        <v/>
      </c>
    </row>
    <row r="190" customFormat="false" ht="15" hidden="false" customHeight="false" outlineLevel="0" collapsed="false">
      <c r="A190" s="30"/>
      <c r="B190" s="30"/>
      <c r="C190" s="30"/>
      <c r="D190" s="30"/>
      <c r="E190" s="27"/>
      <c r="F190" s="42"/>
      <c r="G190" s="43"/>
      <c r="H190" s="41"/>
      <c r="I190" s="41"/>
      <c r="J190" s="43"/>
      <c r="K190" s="41"/>
      <c r="L190" s="30"/>
      <c r="M190" s="46" t="str">
        <f aca="false">IF(OR(H190="",E190="",E190=0),"",H190/E190)</f>
        <v/>
      </c>
      <c r="N190" s="24" t="str">
        <f aca="false">IF(OR(M190="",I190="",I190=0),"",M190/I190-1)</f>
        <v/>
      </c>
      <c r="O190" s="48" t="str">
        <f aca="false">IF(OR(J190="",K190="",G190="",K190=0),"",IF(AND(G190-J190&lt;=550,H190/K190-1&gt;=0.25),"Likely flip","Not a flip"))</f>
        <v/>
      </c>
      <c r="P190" s="39" t="str">
        <f aca="false">IF(OR(J190="",G190=""),"",(G190-J190)/30.44)</f>
        <v/>
      </c>
      <c r="Q190" s="46" t="str">
        <f aca="false">IF(O190&lt;&gt;"Likely flip","",H190-K190-E190*'Past Flips'!$E$3-H190*'Past Flips'!$E$4)</f>
        <v/>
      </c>
      <c r="R190" s="24" t="str">
        <f aca="false">IF(OR(Q190="",H190=0),"",Q190/H190)</f>
        <v/>
      </c>
    </row>
    <row r="191" customFormat="false" ht="15" hidden="false" customHeight="false" outlineLevel="0" collapsed="false">
      <c r="A191" s="30"/>
      <c r="B191" s="30"/>
      <c r="C191" s="30"/>
      <c r="D191" s="30"/>
      <c r="E191" s="27"/>
      <c r="F191" s="42"/>
      <c r="G191" s="43"/>
      <c r="H191" s="41"/>
      <c r="I191" s="41"/>
      <c r="J191" s="43"/>
      <c r="K191" s="41"/>
      <c r="L191" s="30"/>
      <c r="M191" s="46" t="str">
        <f aca="false">IF(OR(H191="",E191="",E191=0),"",H191/E191)</f>
        <v/>
      </c>
      <c r="N191" s="24" t="str">
        <f aca="false">IF(OR(M191="",I191="",I191=0),"",M191/I191-1)</f>
        <v/>
      </c>
      <c r="O191" s="48" t="str">
        <f aca="false">IF(OR(J191="",K191="",G191="",K191=0),"",IF(AND(G191-J191&lt;=550,H191/K191-1&gt;=0.25),"Likely flip","Not a flip"))</f>
        <v/>
      </c>
      <c r="P191" s="39" t="str">
        <f aca="false">IF(OR(J191="",G191=""),"",(G191-J191)/30.44)</f>
        <v/>
      </c>
      <c r="Q191" s="46" t="str">
        <f aca="false">IF(O191&lt;&gt;"Likely flip","",H191-K191-E191*'Past Flips'!$E$3-H191*'Past Flips'!$E$4)</f>
        <v/>
      </c>
      <c r="R191" s="24" t="str">
        <f aca="false">IF(OR(Q191="",H191=0),"",Q191/H191)</f>
        <v/>
      </c>
    </row>
    <row r="192" customFormat="false" ht="15" hidden="false" customHeight="false" outlineLevel="0" collapsed="false">
      <c r="A192" s="30"/>
      <c r="B192" s="30"/>
      <c r="C192" s="30"/>
      <c r="D192" s="30"/>
      <c r="E192" s="27"/>
      <c r="F192" s="42"/>
      <c r="G192" s="43"/>
      <c r="H192" s="41"/>
      <c r="I192" s="41"/>
      <c r="J192" s="43"/>
      <c r="K192" s="41"/>
      <c r="L192" s="30"/>
      <c r="M192" s="46" t="str">
        <f aca="false">IF(OR(H192="",E192="",E192=0),"",H192/E192)</f>
        <v/>
      </c>
      <c r="N192" s="24" t="str">
        <f aca="false">IF(OR(M192="",I192="",I192=0),"",M192/I192-1)</f>
        <v/>
      </c>
      <c r="O192" s="48" t="str">
        <f aca="false">IF(OR(J192="",K192="",G192="",K192=0),"",IF(AND(G192-J192&lt;=550,H192/K192-1&gt;=0.25),"Likely flip","Not a flip"))</f>
        <v/>
      </c>
      <c r="P192" s="39" t="str">
        <f aca="false">IF(OR(J192="",G192=""),"",(G192-J192)/30.44)</f>
        <v/>
      </c>
      <c r="Q192" s="46" t="str">
        <f aca="false">IF(O192&lt;&gt;"Likely flip","",H192-K192-E192*'Past Flips'!$E$3-H192*'Past Flips'!$E$4)</f>
        <v/>
      </c>
      <c r="R192" s="24" t="str">
        <f aca="false">IF(OR(Q192="",H192=0),"",Q192/H192)</f>
        <v/>
      </c>
    </row>
    <row r="193" customFormat="false" ht="15" hidden="false" customHeight="false" outlineLevel="0" collapsed="false">
      <c r="A193" s="30"/>
      <c r="B193" s="30"/>
      <c r="C193" s="30"/>
      <c r="D193" s="30"/>
      <c r="E193" s="27"/>
      <c r="F193" s="42"/>
      <c r="G193" s="43"/>
      <c r="H193" s="41"/>
      <c r="I193" s="41"/>
      <c r="J193" s="43"/>
      <c r="K193" s="41"/>
      <c r="L193" s="30"/>
      <c r="M193" s="46" t="str">
        <f aca="false">IF(OR(H193="",E193="",E193=0),"",H193/E193)</f>
        <v/>
      </c>
      <c r="N193" s="24" t="str">
        <f aca="false">IF(OR(M193="",I193="",I193=0),"",M193/I193-1)</f>
        <v/>
      </c>
      <c r="O193" s="48" t="str">
        <f aca="false">IF(OR(J193="",K193="",G193="",K193=0),"",IF(AND(G193-J193&lt;=550,H193/K193-1&gt;=0.25),"Likely flip","Not a flip"))</f>
        <v/>
      </c>
      <c r="P193" s="39" t="str">
        <f aca="false">IF(OR(J193="",G193=""),"",(G193-J193)/30.44)</f>
        <v/>
      </c>
      <c r="Q193" s="46" t="str">
        <f aca="false">IF(O193&lt;&gt;"Likely flip","",H193-K193-E193*'Past Flips'!$E$3-H193*'Past Flips'!$E$4)</f>
        <v/>
      </c>
      <c r="R193" s="24" t="str">
        <f aca="false">IF(OR(Q193="",H193=0),"",Q193/H193)</f>
        <v/>
      </c>
    </row>
    <row r="194" customFormat="false" ht="15" hidden="false" customHeight="false" outlineLevel="0" collapsed="false">
      <c r="A194" s="30"/>
      <c r="B194" s="30"/>
      <c r="C194" s="30"/>
      <c r="D194" s="30"/>
      <c r="E194" s="27"/>
      <c r="F194" s="42"/>
      <c r="G194" s="43"/>
      <c r="H194" s="41"/>
      <c r="I194" s="41"/>
      <c r="J194" s="43"/>
      <c r="K194" s="41"/>
      <c r="L194" s="30"/>
      <c r="M194" s="46" t="str">
        <f aca="false">IF(OR(H194="",E194="",E194=0),"",H194/E194)</f>
        <v/>
      </c>
      <c r="N194" s="24" t="str">
        <f aca="false">IF(OR(M194="",I194="",I194=0),"",M194/I194-1)</f>
        <v/>
      </c>
      <c r="O194" s="48" t="str">
        <f aca="false">IF(OR(J194="",K194="",G194="",K194=0),"",IF(AND(G194-J194&lt;=550,H194/K194-1&gt;=0.25),"Likely flip","Not a flip"))</f>
        <v/>
      </c>
      <c r="P194" s="39" t="str">
        <f aca="false">IF(OR(J194="",G194=""),"",(G194-J194)/30.44)</f>
        <v/>
      </c>
      <c r="Q194" s="46" t="str">
        <f aca="false">IF(O194&lt;&gt;"Likely flip","",H194-K194-E194*'Past Flips'!$E$3-H194*'Past Flips'!$E$4)</f>
        <v/>
      </c>
      <c r="R194" s="24" t="str">
        <f aca="false">IF(OR(Q194="",H194=0),"",Q194/H194)</f>
        <v/>
      </c>
    </row>
    <row r="195" customFormat="false" ht="15" hidden="false" customHeight="false" outlineLevel="0" collapsed="false">
      <c r="A195" s="30"/>
      <c r="B195" s="30"/>
      <c r="C195" s="30"/>
      <c r="D195" s="30"/>
      <c r="E195" s="27"/>
      <c r="F195" s="42"/>
      <c r="G195" s="43"/>
      <c r="H195" s="41"/>
      <c r="I195" s="41"/>
      <c r="J195" s="43"/>
      <c r="K195" s="41"/>
      <c r="L195" s="30"/>
      <c r="M195" s="46" t="str">
        <f aca="false">IF(OR(H195="",E195="",E195=0),"",H195/E195)</f>
        <v/>
      </c>
      <c r="N195" s="24" t="str">
        <f aca="false">IF(OR(M195="",I195="",I195=0),"",M195/I195-1)</f>
        <v/>
      </c>
      <c r="O195" s="48" t="str">
        <f aca="false">IF(OR(J195="",K195="",G195="",K195=0),"",IF(AND(G195-J195&lt;=550,H195/K195-1&gt;=0.25),"Likely flip","Not a flip"))</f>
        <v/>
      </c>
      <c r="P195" s="39" t="str">
        <f aca="false">IF(OR(J195="",G195=""),"",(G195-J195)/30.44)</f>
        <v/>
      </c>
      <c r="Q195" s="46" t="str">
        <f aca="false">IF(O195&lt;&gt;"Likely flip","",H195-K195-E195*'Past Flips'!$E$3-H195*'Past Flips'!$E$4)</f>
        <v/>
      </c>
      <c r="R195" s="24" t="str">
        <f aca="false">IF(OR(Q195="",H195=0),"",Q195/H195)</f>
        <v/>
      </c>
    </row>
    <row r="196" customFormat="false" ht="15" hidden="false" customHeight="false" outlineLevel="0" collapsed="false">
      <c r="A196" s="30"/>
      <c r="B196" s="30"/>
      <c r="C196" s="30"/>
      <c r="D196" s="30"/>
      <c r="E196" s="27"/>
      <c r="F196" s="42"/>
      <c r="G196" s="43"/>
      <c r="H196" s="41"/>
      <c r="I196" s="41"/>
      <c r="J196" s="43"/>
      <c r="K196" s="41"/>
      <c r="L196" s="30"/>
      <c r="M196" s="46" t="str">
        <f aca="false">IF(OR(H196="",E196="",E196=0),"",H196/E196)</f>
        <v/>
      </c>
      <c r="N196" s="24" t="str">
        <f aca="false">IF(OR(M196="",I196="",I196=0),"",M196/I196-1)</f>
        <v/>
      </c>
      <c r="O196" s="48" t="str">
        <f aca="false">IF(OR(J196="",K196="",G196="",K196=0),"",IF(AND(G196-J196&lt;=550,H196/K196-1&gt;=0.25),"Likely flip","Not a flip"))</f>
        <v/>
      </c>
      <c r="P196" s="39" t="str">
        <f aca="false">IF(OR(J196="",G196=""),"",(G196-J196)/30.44)</f>
        <v/>
      </c>
      <c r="Q196" s="46" t="str">
        <f aca="false">IF(O196&lt;&gt;"Likely flip","",H196-K196-E196*'Past Flips'!$E$3-H196*'Past Flips'!$E$4)</f>
        <v/>
      </c>
      <c r="R196" s="24" t="str">
        <f aca="false">IF(OR(Q196="",H196=0),"",Q196/H196)</f>
        <v/>
      </c>
    </row>
    <row r="197" customFormat="false" ht="15" hidden="false" customHeight="false" outlineLevel="0" collapsed="false">
      <c r="A197" s="30"/>
      <c r="B197" s="30"/>
      <c r="C197" s="30"/>
      <c r="D197" s="30"/>
      <c r="E197" s="27"/>
      <c r="F197" s="42"/>
      <c r="G197" s="43"/>
      <c r="H197" s="41"/>
      <c r="I197" s="41"/>
      <c r="J197" s="43"/>
      <c r="K197" s="41"/>
      <c r="L197" s="30"/>
      <c r="M197" s="46" t="str">
        <f aca="false">IF(OR(H197="",E197="",E197=0),"",H197/E197)</f>
        <v/>
      </c>
      <c r="N197" s="24" t="str">
        <f aca="false">IF(OR(M197="",I197="",I197=0),"",M197/I197-1)</f>
        <v/>
      </c>
      <c r="O197" s="48" t="str">
        <f aca="false">IF(OR(J197="",K197="",G197="",K197=0),"",IF(AND(G197-J197&lt;=550,H197/K197-1&gt;=0.25),"Likely flip","Not a flip"))</f>
        <v/>
      </c>
      <c r="P197" s="39" t="str">
        <f aca="false">IF(OR(J197="",G197=""),"",(G197-J197)/30.44)</f>
        <v/>
      </c>
      <c r="Q197" s="46" t="str">
        <f aca="false">IF(O197&lt;&gt;"Likely flip","",H197-K197-E197*'Past Flips'!$E$3-H197*'Past Flips'!$E$4)</f>
        <v/>
      </c>
      <c r="R197" s="24" t="str">
        <f aca="false">IF(OR(Q197="",H197=0),"",Q197/H197)</f>
        <v/>
      </c>
    </row>
    <row r="198" customFormat="false" ht="15" hidden="false" customHeight="false" outlineLevel="0" collapsed="false">
      <c r="A198" s="30"/>
      <c r="B198" s="30"/>
      <c r="C198" s="30"/>
      <c r="D198" s="30"/>
      <c r="E198" s="27"/>
      <c r="F198" s="42"/>
      <c r="G198" s="43"/>
      <c r="H198" s="41"/>
      <c r="I198" s="41"/>
      <c r="J198" s="43"/>
      <c r="K198" s="41"/>
      <c r="L198" s="30"/>
      <c r="M198" s="46" t="str">
        <f aca="false">IF(OR(H198="",E198="",E198=0),"",H198/E198)</f>
        <v/>
      </c>
      <c r="N198" s="24" t="str">
        <f aca="false">IF(OR(M198="",I198="",I198=0),"",M198/I198-1)</f>
        <v/>
      </c>
      <c r="O198" s="48" t="str">
        <f aca="false">IF(OR(J198="",K198="",G198="",K198=0),"",IF(AND(G198-J198&lt;=550,H198/K198-1&gt;=0.25),"Likely flip","Not a flip"))</f>
        <v/>
      </c>
      <c r="P198" s="39" t="str">
        <f aca="false">IF(OR(J198="",G198=""),"",(G198-J198)/30.44)</f>
        <v/>
      </c>
      <c r="Q198" s="46" t="str">
        <f aca="false">IF(O198&lt;&gt;"Likely flip","",H198-K198-E198*'Past Flips'!$E$3-H198*'Past Flips'!$E$4)</f>
        <v/>
      </c>
      <c r="R198" s="24" t="str">
        <f aca="false">IF(OR(Q198="",H198=0),"",Q198/H198)</f>
        <v/>
      </c>
    </row>
    <row r="199" customFormat="false" ht="15" hidden="false" customHeight="false" outlineLevel="0" collapsed="false">
      <c r="A199" s="30"/>
      <c r="B199" s="30"/>
      <c r="C199" s="30"/>
      <c r="D199" s="30"/>
      <c r="E199" s="27"/>
      <c r="F199" s="42"/>
      <c r="G199" s="43"/>
      <c r="H199" s="41"/>
      <c r="I199" s="41"/>
      <c r="J199" s="43"/>
      <c r="K199" s="41"/>
      <c r="L199" s="30"/>
      <c r="M199" s="46" t="str">
        <f aca="false">IF(OR(H199="",E199="",E199=0),"",H199/E199)</f>
        <v/>
      </c>
      <c r="N199" s="24" t="str">
        <f aca="false">IF(OR(M199="",I199="",I199=0),"",M199/I199-1)</f>
        <v/>
      </c>
      <c r="O199" s="48" t="str">
        <f aca="false">IF(OR(J199="",K199="",G199="",K199=0),"",IF(AND(G199-J199&lt;=550,H199/K199-1&gt;=0.25),"Likely flip","Not a flip"))</f>
        <v/>
      </c>
      <c r="P199" s="39" t="str">
        <f aca="false">IF(OR(J199="",G199=""),"",(G199-J199)/30.44)</f>
        <v/>
      </c>
      <c r="Q199" s="46" t="str">
        <f aca="false">IF(O199&lt;&gt;"Likely flip","",H199-K199-E199*'Past Flips'!$E$3-H199*'Past Flips'!$E$4)</f>
        <v/>
      </c>
      <c r="R199" s="24" t="str">
        <f aca="false">IF(OR(Q199="",H199=0),"",Q199/H199)</f>
        <v/>
      </c>
    </row>
    <row r="200" customFormat="false" ht="15" hidden="false" customHeight="false" outlineLevel="0" collapsed="false">
      <c r="A200" s="30"/>
      <c r="B200" s="30"/>
      <c r="C200" s="30"/>
      <c r="D200" s="30"/>
      <c r="E200" s="27"/>
      <c r="F200" s="42"/>
      <c r="G200" s="43"/>
      <c r="H200" s="41"/>
      <c r="I200" s="41"/>
      <c r="J200" s="43"/>
      <c r="K200" s="41"/>
      <c r="L200" s="30"/>
      <c r="M200" s="46" t="str">
        <f aca="false">IF(OR(H200="",E200="",E200=0),"",H200/E200)</f>
        <v/>
      </c>
      <c r="N200" s="24" t="str">
        <f aca="false">IF(OR(M200="",I200="",I200=0),"",M200/I200-1)</f>
        <v/>
      </c>
      <c r="O200" s="48" t="str">
        <f aca="false">IF(OR(J200="",K200="",G200="",K200=0),"",IF(AND(G200-J200&lt;=550,H200/K200-1&gt;=0.25),"Likely flip","Not a flip"))</f>
        <v/>
      </c>
      <c r="P200" s="39" t="str">
        <f aca="false">IF(OR(J200="",G200=""),"",(G200-J200)/30.44)</f>
        <v/>
      </c>
      <c r="Q200" s="46" t="str">
        <f aca="false">IF(O200&lt;&gt;"Likely flip","",H200-K200-E200*'Past Flips'!$E$3-H200*'Past Flips'!$E$4)</f>
        <v/>
      </c>
      <c r="R200" s="24" t="str">
        <f aca="false">IF(OR(Q200="",H200=0),"",Q200/H200)</f>
        <v/>
      </c>
    </row>
    <row r="201" customFormat="false" ht="15" hidden="false" customHeight="false" outlineLevel="0" collapsed="false">
      <c r="A201" s="30"/>
      <c r="B201" s="30"/>
      <c r="C201" s="30"/>
      <c r="D201" s="30"/>
      <c r="E201" s="27"/>
      <c r="F201" s="42"/>
      <c r="G201" s="43"/>
      <c r="H201" s="41"/>
      <c r="I201" s="41"/>
      <c r="J201" s="43"/>
      <c r="K201" s="41"/>
      <c r="L201" s="30"/>
      <c r="M201" s="46" t="str">
        <f aca="false">IF(OR(H201="",E201="",E201=0),"",H201/E201)</f>
        <v/>
      </c>
      <c r="N201" s="24" t="str">
        <f aca="false">IF(OR(M201="",I201="",I201=0),"",M201/I201-1)</f>
        <v/>
      </c>
      <c r="O201" s="48" t="str">
        <f aca="false">IF(OR(J201="",K201="",G201="",K201=0),"",IF(AND(G201-J201&lt;=550,H201/K201-1&gt;=0.25),"Likely flip","Not a flip"))</f>
        <v/>
      </c>
      <c r="P201" s="39" t="str">
        <f aca="false">IF(OR(J201="",G201=""),"",(G201-J201)/30.44)</f>
        <v/>
      </c>
      <c r="Q201" s="46" t="str">
        <f aca="false">IF(O201&lt;&gt;"Likely flip","",H201-K201-E201*'Past Flips'!$E$3-H201*'Past Flips'!$E$4)</f>
        <v/>
      </c>
      <c r="R201" s="24" t="str">
        <f aca="false">IF(OR(Q201="",H201=0),"",Q201/H201)</f>
        <v/>
      </c>
    </row>
    <row r="202" customFormat="false" ht="15" hidden="false" customHeight="false" outlineLevel="0" collapsed="false">
      <c r="A202" s="30"/>
      <c r="B202" s="30"/>
      <c r="C202" s="30"/>
      <c r="D202" s="30"/>
      <c r="E202" s="27"/>
      <c r="F202" s="42"/>
      <c r="G202" s="43"/>
      <c r="H202" s="41"/>
      <c r="I202" s="41"/>
      <c r="J202" s="43"/>
      <c r="K202" s="41"/>
      <c r="L202" s="30"/>
      <c r="M202" s="46" t="str">
        <f aca="false">IF(OR(H202="",E202="",E202=0),"",H202/E202)</f>
        <v/>
      </c>
      <c r="N202" s="24" t="str">
        <f aca="false">IF(OR(M202="",I202="",I202=0),"",M202/I202-1)</f>
        <v/>
      </c>
      <c r="O202" s="48" t="str">
        <f aca="false">IF(OR(J202="",K202="",G202="",K202=0),"",IF(AND(G202-J202&lt;=550,H202/K202-1&gt;=0.25),"Likely flip","Not a flip"))</f>
        <v/>
      </c>
      <c r="P202" s="39" t="str">
        <f aca="false">IF(OR(J202="",G202=""),"",(G202-J202)/30.44)</f>
        <v/>
      </c>
      <c r="Q202" s="46" t="str">
        <f aca="false">IF(O202&lt;&gt;"Likely flip","",H202-K202-E202*'Past Flips'!$E$3-H202*'Past Flips'!$E$4)</f>
        <v/>
      </c>
      <c r="R202" s="24" t="str">
        <f aca="false">IF(OR(Q202="",H202=0),"",Q202/H202)</f>
        <v/>
      </c>
    </row>
    <row r="203" customFormat="false" ht="15" hidden="false" customHeight="false" outlineLevel="0" collapsed="false">
      <c r="A203" s="30"/>
      <c r="B203" s="30"/>
      <c r="C203" s="30"/>
      <c r="D203" s="30"/>
      <c r="E203" s="27"/>
      <c r="F203" s="42"/>
      <c r="G203" s="43"/>
      <c r="H203" s="41"/>
      <c r="I203" s="41"/>
      <c r="J203" s="43"/>
      <c r="K203" s="41"/>
      <c r="L203" s="30"/>
      <c r="M203" s="46" t="str">
        <f aca="false">IF(OR(H203="",E203="",E203=0),"",H203/E203)</f>
        <v/>
      </c>
      <c r="N203" s="24" t="str">
        <f aca="false">IF(OR(M203="",I203="",I203=0),"",M203/I203-1)</f>
        <v/>
      </c>
      <c r="O203" s="48" t="str">
        <f aca="false">IF(OR(J203="",K203="",G203="",K203=0),"",IF(AND(G203-J203&lt;=550,H203/K203-1&gt;=0.25),"Likely flip","Not a flip"))</f>
        <v/>
      </c>
      <c r="P203" s="39" t="str">
        <f aca="false">IF(OR(J203="",G203=""),"",(G203-J203)/30.44)</f>
        <v/>
      </c>
      <c r="Q203" s="46" t="str">
        <f aca="false">IF(O203&lt;&gt;"Likely flip","",H203-K203-E203*'Past Flips'!$E$3-H203*'Past Flips'!$E$4)</f>
        <v/>
      </c>
      <c r="R203" s="24" t="str">
        <f aca="false">IF(OR(Q203="",H203=0),"",Q203/H203)</f>
        <v/>
      </c>
    </row>
    <row r="204" customFormat="false" ht="15" hidden="false" customHeight="false" outlineLevel="0" collapsed="false">
      <c r="A204" s="30"/>
      <c r="B204" s="30"/>
      <c r="C204" s="30"/>
      <c r="D204" s="30"/>
      <c r="E204" s="27"/>
      <c r="F204" s="42"/>
      <c r="G204" s="43"/>
      <c r="H204" s="41"/>
      <c r="I204" s="41"/>
      <c r="J204" s="43"/>
      <c r="K204" s="41"/>
      <c r="L204" s="30"/>
      <c r="M204" s="46" t="str">
        <f aca="false">IF(OR(H204="",E204="",E204=0),"",H204/E204)</f>
        <v/>
      </c>
      <c r="N204" s="24" t="str">
        <f aca="false">IF(OR(M204="",I204="",I204=0),"",M204/I204-1)</f>
        <v/>
      </c>
      <c r="O204" s="48" t="str">
        <f aca="false">IF(OR(J204="",K204="",G204="",K204=0),"",IF(AND(G204-J204&lt;=550,H204/K204-1&gt;=0.25),"Likely flip","Not a flip"))</f>
        <v/>
      </c>
      <c r="P204" s="39" t="str">
        <f aca="false">IF(OR(J204="",G204=""),"",(G204-J204)/30.44)</f>
        <v/>
      </c>
      <c r="Q204" s="46" t="str">
        <f aca="false">IF(O204&lt;&gt;"Likely flip","",H204-K204-E204*'Past Flips'!$E$3-H204*'Past Flips'!$E$4)</f>
        <v/>
      </c>
      <c r="R204" s="24" t="str">
        <f aca="false">IF(OR(Q204="",H204=0),"",Q204/H204)</f>
        <v/>
      </c>
    </row>
    <row r="205" customFormat="false" ht="15" hidden="false" customHeight="false" outlineLevel="0" collapsed="false">
      <c r="A205" s="30"/>
      <c r="B205" s="30"/>
      <c r="C205" s="30"/>
      <c r="D205" s="30"/>
      <c r="E205" s="27"/>
      <c r="F205" s="42"/>
      <c r="G205" s="43"/>
      <c r="H205" s="41"/>
      <c r="I205" s="41"/>
      <c r="J205" s="43"/>
      <c r="K205" s="41"/>
      <c r="L205" s="30"/>
      <c r="M205" s="46" t="str">
        <f aca="false">IF(OR(H205="",E205="",E205=0),"",H205/E205)</f>
        <v/>
      </c>
      <c r="N205" s="24" t="str">
        <f aca="false">IF(OR(M205="",I205="",I205=0),"",M205/I205-1)</f>
        <v/>
      </c>
      <c r="O205" s="48" t="str">
        <f aca="false">IF(OR(J205="",K205="",G205="",K205=0),"",IF(AND(G205-J205&lt;=550,H205/K205-1&gt;=0.25),"Likely flip","Not a flip"))</f>
        <v/>
      </c>
      <c r="P205" s="39" t="str">
        <f aca="false">IF(OR(J205="",G205=""),"",(G205-J205)/30.44)</f>
        <v/>
      </c>
      <c r="Q205" s="46" t="str">
        <f aca="false">IF(O205&lt;&gt;"Likely flip","",H205-K205-E205*'Past Flips'!$E$3-H205*'Past Flips'!$E$4)</f>
        <v/>
      </c>
      <c r="R205" s="24" t="str">
        <f aca="false">IF(OR(Q205="",H205=0),"",Q205/H205)</f>
        <v/>
      </c>
    </row>
    <row r="206" customFormat="false" ht="15" hidden="false" customHeight="false" outlineLevel="0" collapsed="false">
      <c r="A206" s="30"/>
      <c r="B206" s="30"/>
      <c r="C206" s="30"/>
      <c r="D206" s="30"/>
      <c r="E206" s="27"/>
      <c r="F206" s="42"/>
      <c r="G206" s="43"/>
      <c r="H206" s="41"/>
      <c r="I206" s="41"/>
      <c r="J206" s="43"/>
      <c r="K206" s="41"/>
      <c r="L206" s="30"/>
      <c r="M206" s="46" t="str">
        <f aca="false">IF(OR(H206="",E206="",E206=0),"",H206/E206)</f>
        <v/>
      </c>
      <c r="N206" s="24" t="str">
        <f aca="false">IF(OR(M206="",I206="",I206=0),"",M206/I206-1)</f>
        <v/>
      </c>
      <c r="O206" s="48" t="str">
        <f aca="false">IF(OR(J206="",K206="",G206="",K206=0),"",IF(AND(G206-J206&lt;=550,H206/K206-1&gt;=0.25),"Likely flip","Not a flip"))</f>
        <v/>
      </c>
      <c r="P206" s="39" t="str">
        <f aca="false">IF(OR(J206="",G206=""),"",(G206-J206)/30.44)</f>
        <v/>
      </c>
      <c r="Q206" s="46" t="str">
        <f aca="false">IF(O206&lt;&gt;"Likely flip","",H206-K206-E206*'Past Flips'!$E$3-H206*'Past Flips'!$E$4)</f>
        <v/>
      </c>
      <c r="R206" s="24" t="str">
        <f aca="false">IF(OR(Q206="",H206=0),"",Q206/H206)</f>
        <v/>
      </c>
    </row>
    <row r="207" customFormat="false" ht="15" hidden="false" customHeight="false" outlineLevel="0" collapsed="false">
      <c r="A207" s="30"/>
      <c r="B207" s="30"/>
      <c r="C207" s="30"/>
      <c r="D207" s="30"/>
      <c r="E207" s="27"/>
      <c r="F207" s="42"/>
      <c r="G207" s="43"/>
      <c r="H207" s="41"/>
      <c r="I207" s="41"/>
      <c r="J207" s="43"/>
      <c r="K207" s="41"/>
      <c r="L207" s="30"/>
      <c r="M207" s="46" t="str">
        <f aca="false">IF(OR(H207="",E207="",E207=0),"",H207/E207)</f>
        <v/>
      </c>
      <c r="N207" s="24" t="str">
        <f aca="false">IF(OR(M207="",I207="",I207=0),"",M207/I207-1)</f>
        <v/>
      </c>
      <c r="O207" s="48" t="str">
        <f aca="false">IF(OR(J207="",K207="",G207="",K207=0),"",IF(AND(G207-J207&lt;=550,H207/K207-1&gt;=0.25),"Likely flip","Not a flip"))</f>
        <v/>
      </c>
      <c r="P207" s="39" t="str">
        <f aca="false">IF(OR(J207="",G207=""),"",(G207-J207)/30.44)</f>
        <v/>
      </c>
      <c r="Q207" s="46" t="str">
        <f aca="false">IF(O207&lt;&gt;"Likely flip","",H207-K207-E207*'Past Flips'!$E$3-H207*'Past Flips'!$E$4)</f>
        <v/>
      </c>
      <c r="R207" s="24" t="str">
        <f aca="false">IF(OR(Q207="",H207=0),"",Q207/H207)</f>
        <v/>
      </c>
    </row>
  </sheetData>
  <mergeCells count="3">
    <mergeCell ref="A6:I6"/>
    <mergeCell ref="J6:L6"/>
    <mergeCell ref="M6:R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T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9" min="5" style="0" width="11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0" min="20" style="0" width="8"/>
  </cols>
  <sheetData>
    <row r="1" customFormat="false" ht="21.75" hidden="false" customHeight="true" outlineLevel="0" collapsed="false">
      <c r="A1" s="15" t="s">
        <v>213</v>
      </c>
    </row>
    <row r="2" customFormat="false" ht="15" hidden="false" customHeight="false" outlineLevel="0" collapsed="false">
      <c r="A2" s="2" t="s">
        <v>214</v>
      </c>
    </row>
    <row r="3" customFormat="false" ht="15" hidden="false" customHeight="false" outlineLevel="0" collapsed="false">
      <c r="A3" s="9" t="s">
        <v>215</v>
      </c>
      <c r="E3" s="49" t="n">
        <v>30</v>
      </c>
      <c r="F3" s="2" t="s">
        <v>216</v>
      </c>
    </row>
    <row r="4" customFormat="false" ht="15" hidden="false" customHeight="false" outlineLevel="0" collapsed="false">
      <c r="A4" s="9" t="s">
        <v>217</v>
      </c>
      <c r="E4" s="50" t="n">
        <v>0.1</v>
      </c>
      <c r="F4" s="2" t="s">
        <v>218</v>
      </c>
    </row>
    <row r="6" customFormat="false" ht="15" hidden="false" customHeight="false" outlineLevel="0" collapsed="false">
      <c r="A6" s="17" t="s">
        <v>173</v>
      </c>
      <c r="B6" s="17"/>
      <c r="C6" s="17"/>
      <c r="D6" s="17"/>
      <c r="E6" s="17" t="s">
        <v>219</v>
      </c>
      <c r="F6" s="17"/>
      <c r="G6" s="17"/>
      <c r="H6" s="17"/>
      <c r="I6" s="17"/>
      <c r="J6" s="17"/>
      <c r="K6" s="17"/>
      <c r="L6" s="17"/>
      <c r="M6" s="17" t="s">
        <v>220</v>
      </c>
      <c r="N6" s="17"/>
      <c r="O6" s="17"/>
      <c r="P6" s="17"/>
      <c r="Q6" s="17"/>
      <c r="R6" s="17"/>
      <c r="S6" s="17"/>
      <c r="T6" s="17"/>
    </row>
    <row r="7" customFormat="false" ht="42" hidden="false" customHeight="true" outlineLevel="0" collapsed="false">
      <c r="A7" s="19" t="s">
        <v>128</v>
      </c>
      <c r="B7" s="19" t="s">
        <v>147</v>
      </c>
      <c r="C7" s="19" t="s">
        <v>175</v>
      </c>
      <c r="D7" s="19" t="s">
        <v>179</v>
      </c>
      <c r="E7" s="19" t="s">
        <v>221</v>
      </c>
      <c r="F7" s="19" t="s">
        <v>222</v>
      </c>
      <c r="G7" s="19" t="s">
        <v>186</v>
      </c>
      <c r="H7" s="19" t="s">
        <v>203</v>
      </c>
      <c r="I7" s="19" t="s">
        <v>223</v>
      </c>
      <c r="J7" s="19" t="s">
        <v>224</v>
      </c>
      <c r="K7" s="19" t="s">
        <v>225</v>
      </c>
      <c r="L7" s="19" t="s">
        <v>189</v>
      </c>
      <c r="M7" s="19" t="s">
        <v>226</v>
      </c>
      <c r="N7" s="19" t="s">
        <v>227</v>
      </c>
      <c r="O7" s="19" t="s">
        <v>228</v>
      </c>
      <c r="P7" s="19" t="s">
        <v>194</v>
      </c>
      <c r="Q7" s="19" t="s">
        <v>229</v>
      </c>
      <c r="R7" s="19" t="s">
        <v>230</v>
      </c>
      <c r="S7" s="19" t="s">
        <v>210</v>
      </c>
      <c r="T7" s="19" t="s">
        <v>211</v>
      </c>
    </row>
    <row r="8" customFormat="false" ht="15" hidden="false" customHeight="false" outlineLevel="0" collapsed="false">
      <c r="A8" s="20" t="s">
        <v>126</v>
      </c>
      <c r="B8" s="20" t="s">
        <v>168</v>
      </c>
      <c r="C8" s="20" t="s">
        <v>231</v>
      </c>
      <c r="D8" s="36" t="n">
        <v>1300</v>
      </c>
      <c r="E8" s="38" t="n">
        <v>45971</v>
      </c>
      <c r="F8" s="35" t="n">
        <v>118000</v>
      </c>
      <c r="G8" s="38" t="n">
        <v>46162</v>
      </c>
      <c r="H8" s="35" t="n">
        <v>214900</v>
      </c>
      <c r="I8" s="41"/>
      <c r="J8" s="20" t="s">
        <v>232</v>
      </c>
      <c r="K8" s="20" t="s">
        <v>233</v>
      </c>
      <c r="L8" s="20" t="s">
        <v>170</v>
      </c>
      <c r="M8" s="39" t="n">
        <f aca="false">IF(OR(E8="",G8=""),"",(G8-E8)/30.44)</f>
        <v>6.27463863337714</v>
      </c>
      <c r="N8" s="46" t="n">
        <f aca="false">IF(OR(F8="",H8=""),"",H8-F8)</f>
        <v>96900</v>
      </c>
      <c r="O8" s="46" t="n">
        <f aca="false">IF(OR(F8="",D8="",D8=0),"",F8/D8)</f>
        <v>90.7692307692308</v>
      </c>
      <c r="P8" s="46" t="n">
        <f aca="false">IF(OR(H8="",D8="",D8=0),"",H8/D8)</f>
        <v>165.307692307692</v>
      </c>
      <c r="Q8" s="46" t="n">
        <f aca="false">IF(H8="","",IF(I8&lt;&gt;"",I8,IF(D8="","",D8*$E$3)))</f>
        <v>39000</v>
      </c>
      <c r="R8" s="46" t="n">
        <f aca="false">IF(H8="","",H8*$E$4)</f>
        <v>21490</v>
      </c>
      <c r="S8" s="46" t="n">
        <f aca="false">IF(OR(F8="",H8="",Q8=""),"",H8-F8-Q8-R8)</f>
        <v>36410</v>
      </c>
      <c r="T8" s="24" t="n">
        <f aca="false">IF(OR(S8="",H8="",H8=0),"",S8/H8)</f>
        <v>0.169427640763146</v>
      </c>
    </row>
    <row r="9" customFormat="false" ht="15" hidden="false" customHeight="false" outlineLevel="0" collapsed="false">
      <c r="A9" s="30"/>
      <c r="B9" s="30"/>
      <c r="C9" s="30"/>
      <c r="D9" s="27"/>
      <c r="E9" s="43"/>
      <c r="F9" s="41"/>
      <c r="G9" s="43"/>
      <c r="H9" s="41"/>
      <c r="I9" s="41"/>
      <c r="J9" s="30"/>
      <c r="K9" s="30"/>
      <c r="L9" s="30"/>
      <c r="M9" s="39" t="str">
        <f aca="false">IF(OR(E9="",G9=""),"",(G9-E9)/30.44)</f>
        <v/>
      </c>
      <c r="N9" s="46" t="str">
        <f aca="false">IF(OR(F9="",H9=""),"",H9-F9)</f>
        <v/>
      </c>
      <c r="O9" s="46" t="str">
        <f aca="false">IF(OR(F9="",D9="",D9=0),"",F9/D9)</f>
        <v/>
      </c>
      <c r="P9" s="46" t="str">
        <f aca="false">IF(OR(H9="",D9="",D9=0),"",H9/D9)</f>
        <v/>
      </c>
      <c r="Q9" s="46" t="str">
        <f aca="false">IF(H9="","",IF(I9&lt;&gt;"",I9,IF(D9="","",D9*$E$3)))</f>
        <v/>
      </c>
      <c r="R9" s="46" t="str">
        <f aca="false">IF(H9="","",H9*$E$4)</f>
        <v/>
      </c>
      <c r="S9" s="46" t="str">
        <f aca="false">IF(OR(F9="",H9="",Q9=""),"",H9-F9-Q9-R9)</f>
        <v/>
      </c>
      <c r="T9" s="24" t="str">
        <f aca="false">IF(OR(S9="",H9="",H9=0),"",S9/H9)</f>
        <v/>
      </c>
    </row>
    <row r="10" customFormat="false" ht="15" hidden="false" customHeight="false" outlineLevel="0" collapsed="false">
      <c r="A10" s="30"/>
      <c r="B10" s="30"/>
      <c r="C10" s="30"/>
      <c r="D10" s="27"/>
      <c r="E10" s="43"/>
      <c r="F10" s="41"/>
      <c r="G10" s="43"/>
      <c r="H10" s="41"/>
      <c r="I10" s="41"/>
      <c r="J10" s="30"/>
      <c r="K10" s="30"/>
      <c r="L10" s="30"/>
      <c r="M10" s="39" t="str">
        <f aca="false">IF(OR(E10="",G10=""),"",(G10-E10)/30.44)</f>
        <v/>
      </c>
      <c r="N10" s="46" t="str">
        <f aca="false">IF(OR(F10="",H10=""),"",H10-F10)</f>
        <v/>
      </c>
      <c r="O10" s="46" t="str">
        <f aca="false">IF(OR(F10="",D10="",D10=0),"",F10/D10)</f>
        <v/>
      </c>
      <c r="P10" s="46" t="str">
        <f aca="false">IF(OR(H10="",D10="",D10=0),"",H10/D10)</f>
        <v/>
      </c>
      <c r="Q10" s="46" t="str">
        <f aca="false">IF(H10="","",IF(I10&lt;&gt;"",I10,IF(D10="","",D10*$E$3)))</f>
        <v/>
      </c>
      <c r="R10" s="46" t="str">
        <f aca="false">IF(H10="","",H10*$E$4)</f>
        <v/>
      </c>
      <c r="S10" s="46" t="str">
        <f aca="false">IF(OR(F10="",H10="",Q10=""),"",H10-F10-Q10-R10)</f>
        <v/>
      </c>
      <c r="T10" s="24" t="str">
        <f aca="false">IF(OR(S10="",H10="",H10=0),"",S10/H10)</f>
        <v/>
      </c>
    </row>
    <row r="11" customFormat="false" ht="15" hidden="false" customHeight="false" outlineLevel="0" collapsed="false">
      <c r="A11" s="30"/>
      <c r="B11" s="30"/>
      <c r="C11" s="30"/>
      <c r="D11" s="27"/>
      <c r="E11" s="43"/>
      <c r="F11" s="41"/>
      <c r="G11" s="43"/>
      <c r="H11" s="41"/>
      <c r="I11" s="41"/>
      <c r="J11" s="30"/>
      <c r="K11" s="30"/>
      <c r="L11" s="30"/>
      <c r="M11" s="39" t="str">
        <f aca="false">IF(OR(E11="",G11=""),"",(G11-E11)/30.44)</f>
        <v/>
      </c>
      <c r="N11" s="46" t="str">
        <f aca="false">IF(OR(F11="",H11=""),"",H11-F11)</f>
        <v/>
      </c>
      <c r="O11" s="46" t="str">
        <f aca="false">IF(OR(F11="",D11="",D11=0),"",F11/D11)</f>
        <v/>
      </c>
      <c r="P11" s="46" t="str">
        <f aca="false">IF(OR(H11="",D11="",D11=0),"",H11/D11)</f>
        <v/>
      </c>
      <c r="Q11" s="46" t="str">
        <f aca="false">IF(H11="","",IF(I11&lt;&gt;"",I11,IF(D11="","",D11*$E$3)))</f>
        <v/>
      </c>
      <c r="R11" s="46" t="str">
        <f aca="false">IF(H11="","",H11*$E$4)</f>
        <v/>
      </c>
      <c r="S11" s="46" t="str">
        <f aca="false">IF(OR(F11="",H11="",Q11=""),"",H11-F11-Q11-R11)</f>
        <v/>
      </c>
      <c r="T11" s="24" t="str">
        <f aca="false">IF(OR(S11="",H11="",H11=0),"",S11/H11)</f>
        <v/>
      </c>
    </row>
    <row r="12" customFormat="false" ht="15" hidden="false" customHeight="false" outlineLevel="0" collapsed="false">
      <c r="A12" s="30"/>
      <c r="B12" s="30"/>
      <c r="C12" s="30"/>
      <c r="D12" s="27"/>
      <c r="E12" s="43"/>
      <c r="F12" s="41"/>
      <c r="G12" s="43"/>
      <c r="H12" s="41"/>
      <c r="I12" s="41"/>
      <c r="J12" s="30"/>
      <c r="K12" s="30"/>
      <c r="L12" s="30"/>
      <c r="M12" s="39" t="str">
        <f aca="false">IF(OR(E12="",G12=""),"",(G12-E12)/30.44)</f>
        <v/>
      </c>
      <c r="N12" s="46" t="str">
        <f aca="false">IF(OR(F12="",H12=""),"",H12-F12)</f>
        <v/>
      </c>
      <c r="O12" s="46" t="str">
        <f aca="false">IF(OR(F12="",D12="",D12=0),"",F12/D12)</f>
        <v/>
      </c>
      <c r="P12" s="46" t="str">
        <f aca="false">IF(OR(H12="",D12="",D12=0),"",H12/D12)</f>
        <v/>
      </c>
      <c r="Q12" s="46" t="str">
        <f aca="false">IF(H12="","",IF(I12&lt;&gt;"",I12,IF(D12="","",D12*$E$3)))</f>
        <v/>
      </c>
      <c r="R12" s="46" t="str">
        <f aca="false">IF(H12="","",H12*$E$4)</f>
        <v/>
      </c>
      <c r="S12" s="46" t="str">
        <f aca="false">IF(OR(F12="",H12="",Q12=""),"",H12-F12-Q12-R12)</f>
        <v/>
      </c>
      <c r="T12" s="24" t="str">
        <f aca="false">IF(OR(S12="",H12="",H12=0),"",S12/H12)</f>
        <v/>
      </c>
    </row>
    <row r="13" customFormat="false" ht="15" hidden="false" customHeight="false" outlineLevel="0" collapsed="false">
      <c r="A13" s="30"/>
      <c r="B13" s="30"/>
      <c r="C13" s="30"/>
      <c r="D13" s="27"/>
      <c r="E13" s="43"/>
      <c r="F13" s="41"/>
      <c r="G13" s="43"/>
      <c r="H13" s="41"/>
      <c r="I13" s="41"/>
      <c r="J13" s="30"/>
      <c r="K13" s="30"/>
      <c r="L13" s="30"/>
      <c r="M13" s="39" t="str">
        <f aca="false">IF(OR(E13="",G13=""),"",(G13-E13)/30.44)</f>
        <v/>
      </c>
      <c r="N13" s="46" t="str">
        <f aca="false">IF(OR(F13="",H13=""),"",H13-F13)</f>
        <v/>
      </c>
      <c r="O13" s="46" t="str">
        <f aca="false">IF(OR(F13="",D13="",D13=0),"",F13/D13)</f>
        <v/>
      </c>
      <c r="P13" s="46" t="str">
        <f aca="false">IF(OR(H13="",D13="",D13=0),"",H13/D13)</f>
        <v/>
      </c>
      <c r="Q13" s="46" t="str">
        <f aca="false">IF(H13="","",IF(I13&lt;&gt;"",I13,IF(D13="","",D13*$E$3)))</f>
        <v/>
      </c>
      <c r="R13" s="46" t="str">
        <f aca="false">IF(H13="","",H13*$E$4)</f>
        <v/>
      </c>
      <c r="S13" s="46" t="str">
        <f aca="false">IF(OR(F13="",H13="",Q13=""),"",H13-F13-Q13-R13)</f>
        <v/>
      </c>
      <c r="T13" s="24" t="str">
        <f aca="false">IF(OR(S13="",H13="",H13=0),"",S13/H13)</f>
        <v/>
      </c>
    </row>
    <row r="14" customFormat="false" ht="15" hidden="false" customHeight="false" outlineLevel="0" collapsed="false">
      <c r="A14" s="30"/>
      <c r="B14" s="30"/>
      <c r="C14" s="30"/>
      <c r="D14" s="27"/>
      <c r="E14" s="43"/>
      <c r="F14" s="41"/>
      <c r="G14" s="43"/>
      <c r="H14" s="41"/>
      <c r="I14" s="41"/>
      <c r="J14" s="30"/>
      <c r="K14" s="30"/>
      <c r="L14" s="30"/>
      <c r="M14" s="39" t="str">
        <f aca="false">IF(OR(E14="",G14=""),"",(G14-E14)/30.44)</f>
        <v/>
      </c>
      <c r="N14" s="46" t="str">
        <f aca="false">IF(OR(F14="",H14=""),"",H14-F14)</f>
        <v/>
      </c>
      <c r="O14" s="46" t="str">
        <f aca="false">IF(OR(F14="",D14="",D14=0),"",F14/D14)</f>
        <v/>
      </c>
      <c r="P14" s="46" t="str">
        <f aca="false">IF(OR(H14="",D14="",D14=0),"",H14/D14)</f>
        <v/>
      </c>
      <c r="Q14" s="46" t="str">
        <f aca="false">IF(H14="","",IF(I14&lt;&gt;"",I14,IF(D14="","",D14*$E$3)))</f>
        <v/>
      </c>
      <c r="R14" s="46" t="str">
        <f aca="false">IF(H14="","",H14*$E$4)</f>
        <v/>
      </c>
      <c r="S14" s="46" t="str">
        <f aca="false">IF(OR(F14="",H14="",Q14=""),"",H14-F14-Q14-R14)</f>
        <v/>
      </c>
      <c r="T14" s="24" t="str">
        <f aca="false">IF(OR(S14="",H14="",H14=0),"",S14/H14)</f>
        <v/>
      </c>
    </row>
    <row r="15" customFormat="false" ht="15" hidden="false" customHeight="false" outlineLevel="0" collapsed="false">
      <c r="A15" s="30"/>
      <c r="B15" s="30"/>
      <c r="C15" s="30"/>
      <c r="D15" s="27"/>
      <c r="E15" s="43"/>
      <c r="F15" s="41"/>
      <c r="G15" s="43"/>
      <c r="H15" s="41"/>
      <c r="I15" s="41"/>
      <c r="J15" s="30"/>
      <c r="K15" s="30"/>
      <c r="L15" s="30"/>
      <c r="M15" s="39" t="str">
        <f aca="false">IF(OR(E15="",G15=""),"",(G15-E15)/30.44)</f>
        <v/>
      </c>
      <c r="N15" s="46" t="str">
        <f aca="false">IF(OR(F15="",H15=""),"",H15-F15)</f>
        <v/>
      </c>
      <c r="O15" s="46" t="str">
        <f aca="false">IF(OR(F15="",D15="",D15=0),"",F15/D15)</f>
        <v/>
      </c>
      <c r="P15" s="46" t="str">
        <f aca="false">IF(OR(H15="",D15="",D15=0),"",H15/D15)</f>
        <v/>
      </c>
      <c r="Q15" s="46" t="str">
        <f aca="false">IF(H15="","",IF(I15&lt;&gt;"",I15,IF(D15="","",D15*$E$3)))</f>
        <v/>
      </c>
      <c r="R15" s="46" t="str">
        <f aca="false">IF(H15="","",H15*$E$4)</f>
        <v/>
      </c>
      <c r="S15" s="46" t="str">
        <f aca="false">IF(OR(F15="",H15="",Q15=""),"",H15-F15-Q15-R15)</f>
        <v/>
      </c>
      <c r="T15" s="24" t="str">
        <f aca="false">IF(OR(S15="",H15="",H15=0),"",S15/H15)</f>
        <v/>
      </c>
    </row>
    <row r="16" customFormat="false" ht="15" hidden="false" customHeight="false" outlineLevel="0" collapsed="false">
      <c r="A16" s="30"/>
      <c r="B16" s="30"/>
      <c r="C16" s="30"/>
      <c r="D16" s="27"/>
      <c r="E16" s="43"/>
      <c r="F16" s="41"/>
      <c r="G16" s="43"/>
      <c r="H16" s="41"/>
      <c r="I16" s="41"/>
      <c r="J16" s="30"/>
      <c r="K16" s="30"/>
      <c r="L16" s="30"/>
      <c r="M16" s="39" t="str">
        <f aca="false">IF(OR(E16="",G16=""),"",(G16-E16)/30.44)</f>
        <v/>
      </c>
      <c r="N16" s="46" t="str">
        <f aca="false">IF(OR(F16="",H16=""),"",H16-F16)</f>
        <v/>
      </c>
      <c r="O16" s="46" t="str">
        <f aca="false">IF(OR(F16="",D16="",D16=0),"",F16/D16)</f>
        <v/>
      </c>
      <c r="P16" s="46" t="str">
        <f aca="false">IF(OR(H16="",D16="",D16=0),"",H16/D16)</f>
        <v/>
      </c>
      <c r="Q16" s="46" t="str">
        <f aca="false">IF(H16="","",IF(I16&lt;&gt;"",I16,IF(D16="","",D16*$E$3)))</f>
        <v/>
      </c>
      <c r="R16" s="46" t="str">
        <f aca="false">IF(H16="","",H16*$E$4)</f>
        <v/>
      </c>
      <c r="S16" s="46" t="str">
        <f aca="false">IF(OR(F16="",H16="",Q16=""),"",H16-F16-Q16-R16)</f>
        <v/>
      </c>
      <c r="T16" s="24" t="str">
        <f aca="false">IF(OR(S16="",H16="",H16=0),"",S16/H16)</f>
        <v/>
      </c>
    </row>
    <row r="17" customFormat="false" ht="15" hidden="false" customHeight="false" outlineLevel="0" collapsed="false">
      <c r="A17" s="30"/>
      <c r="B17" s="30"/>
      <c r="C17" s="30"/>
      <c r="D17" s="27"/>
      <c r="E17" s="43"/>
      <c r="F17" s="41"/>
      <c r="G17" s="43"/>
      <c r="H17" s="41"/>
      <c r="I17" s="41"/>
      <c r="J17" s="30"/>
      <c r="K17" s="30"/>
      <c r="L17" s="30"/>
      <c r="M17" s="39" t="str">
        <f aca="false">IF(OR(E17="",G17=""),"",(G17-E17)/30.44)</f>
        <v/>
      </c>
      <c r="N17" s="46" t="str">
        <f aca="false">IF(OR(F17="",H17=""),"",H17-F17)</f>
        <v/>
      </c>
      <c r="O17" s="46" t="str">
        <f aca="false">IF(OR(F17="",D17="",D17=0),"",F17/D17)</f>
        <v/>
      </c>
      <c r="P17" s="46" t="str">
        <f aca="false">IF(OR(H17="",D17="",D17=0),"",H17/D17)</f>
        <v/>
      </c>
      <c r="Q17" s="46" t="str">
        <f aca="false">IF(H17="","",IF(I17&lt;&gt;"",I17,IF(D17="","",D17*$E$3)))</f>
        <v/>
      </c>
      <c r="R17" s="46" t="str">
        <f aca="false">IF(H17="","",H17*$E$4)</f>
        <v/>
      </c>
      <c r="S17" s="46" t="str">
        <f aca="false">IF(OR(F17="",H17="",Q17=""),"",H17-F17-Q17-R17)</f>
        <v/>
      </c>
      <c r="T17" s="24" t="str">
        <f aca="false">IF(OR(S17="",H17="",H17=0),"",S17/H17)</f>
        <v/>
      </c>
    </row>
    <row r="18" customFormat="false" ht="15" hidden="false" customHeight="false" outlineLevel="0" collapsed="false">
      <c r="A18" s="30"/>
      <c r="B18" s="30"/>
      <c r="C18" s="30"/>
      <c r="D18" s="27"/>
      <c r="E18" s="43"/>
      <c r="F18" s="41"/>
      <c r="G18" s="43"/>
      <c r="H18" s="41"/>
      <c r="I18" s="41"/>
      <c r="J18" s="30"/>
      <c r="K18" s="30"/>
      <c r="L18" s="30"/>
      <c r="M18" s="39" t="str">
        <f aca="false">IF(OR(E18="",G18=""),"",(G18-E18)/30.44)</f>
        <v/>
      </c>
      <c r="N18" s="46" t="str">
        <f aca="false">IF(OR(F18="",H18=""),"",H18-F18)</f>
        <v/>
      </c>
      <c r="O18" s="46" t="str">
        <f aca="false">IF(OR(F18="",D18="",D18=0),"",F18/D18)</f>
        <v/>
      </c>
      <c r="P18" s="46" t="str">
        <f aca="false">IF(OR(H18="",D18="",D18=0),"",H18/D18)</f>
        <v/>
      </c>
      <c r="Q18" s="46" t="str">
        <f aca="false">IF(H18="","",IF(I18&lt;&gt;"",I18,IF(D18="","",D18*$E$3)))</f>
        <v/>
      </c>
      <c r="R18" s="46" t="str">
        <f aca="false">IF(H18="","",H18*$E$4)</f>
        <v/>
      </c>
      <c r="S18" s="46" t="str">
        <f aca="false">IF(OR(F18="",H18="",Q18=""),"",H18-F18-Q18-R18)</f>
        <v/>
      </c>
      <c r="T18" s="24" t="str">
        <f aca="false">IF(OR(S18="",H18="",H18=0),"",S18/H18)</f>
        <v/>
      </c>
    </row>
    <row r="19" customFormat="false" ht="15" hidden="false" customHeight="false" outlineLevel="0" collapsed="false">
      <c r="A19" s="30"/>
      <c r="B19" s="30"/>
      <c r="C19" s="30"/>
      <c r="D19" s="27"/>
      <c r="E19" s="43"/>
      <c r="F19" s="41"/>
      <c r="G19" s="43"/>
      <c r="H19" s="41"/>
      <c r="I19" s="41"/>
      <c r="J19" s="30"/>
      <c r="K19" s="30"/>
      <c r="L19" s="30"/>
      <c r="M19" s="39" t="str">
        <f aca="false">IF(OR(E19="",G19=""),"",(G19-E19)/30.44)</f>
        <v/>
      </c>
      <c r="N19" s="46" t="str">
        <f aca="false">IF(OR(F19="",H19=""),"",H19-F19)</f>
        <v/>
      </c>
      <c r="O19" s="46" t="str">
        <f aca="false">IF(OR(F19="",D19="",D19=0),"",F19/D19)</f>
        <v/>
      </c>
      <c r="P19" s="46" t="str">
        <f aca="false">IF(OR(H19="",D19="",D19=0),"",H19/D19)</f>
        <v/>
      </c>
      <c r="Q19" s="46" t="str">
        <f aca="false">IF(H19="","",IF(I19&lt;&gt;"",I19,IF(D19="","",D19*$E$3)))</f>
        <v/>
      </c>
      <c r="R19" s="46" t="str">
        <f aca="false">IF(H19="","",H19*$E$4)</f>
        <v/>
      </c>
      <c r="S19" s="46" t="str">
        <f aca="false">IF(OR(F19="",H19="",Q19=""),"",H19-F19-Q19-R19)</f>
        <v/>
      </c>
      <c r="T19" s="24" t="str">
        <f aca="false">IF(OR(S19="",H19="",H19=0),"",S19/H19)</f>
        <v/>
      </c>
    </row>
    <row r="20" customFormat="false" ht="15" hidden="false" customHeight="false" outlineLevel="0" collapsed="false">
      <c r="A20" s="30"/>
      <c r="B20" s="30"/>
      <c r="C20" s="30"/>
      <c r="D20" s="27"/>
      <c r="E20" s="43"/>
      <c r="F20" s="41"/>
      <c r="G20" s="43"/>
      <c r="H20" s="41"/>
      <c r="I20" s="41"/>
      <c r="J20" s="30"/>
      <c r="K20" s="30"/>
      <c r="L20" s="30"/>
      <c r="M20" s="39" t="str">
        <f aca="false">IF(OR(E20="",G20=""),"",(G20-E20)/30.44)</f>
        <v/>
      </c>
      <c r="N20" s="46" t="str">
        <f aca="false">IF(OR(F20="",H20=""),"",H20-F20)</f>
        <v/>
      </c>
      <c r="O20" s="46" t="str">
        <f aca="false">IF(OR(F20="",D20="",D20=0),"",F20/D20)</f>
        <v/>
      </c>
      <c r="P20" s="46" t="str">
        <f aca="false">IF(OR(H20="",D20="",D20=0),"",H20/D20)</f>
        <v/>
      </c>
      <c r="Q20" s="46" t="str">
        <f aca="false">IF(H20="","",IF(I20&lt;&gt;"",I20,IF(D20="","",D20*$E$3)))</f>
        <v/>
      </c>
      <c r="R20" s="46" t="str">
        <f aca="false">IF(H20="","",H20*$E$4)</f>
        <v/>
      </c>
      <c r="S20" s="46" t="str">
        <f aca="false">IF(OR(F20="",H20="",Q20=""),"",H20-F20-Q20-R20)</f>
        <v/>
      </c>
      <c r="T20" s="24" t="str">
        <f aca="false">IF(OR(S20="",H20="",H20=0),"",S20/H20)</f>
        <v/>
      </c>
    </row>
    <row r="21" customFormat="false" ht="15" hidden="false" customHeight="false" outlineLevel="0" collapsed="false">
      <c r="A21" s="30"/>
      <c r="B21" s="30"/>
      <c r="C21" s="30"/>
      <c r="D21" s="27"/>
      <c r="E21" s="43"/>
      <c r="F21" s="41"/>
      <c r="G21" s="43"/>
      <c r="H21" s="41"/>
      <c r="I21" s="41"/>
      <c r="J21" s="30"/>
      <c r="K21" s="30"/>
      <c r="L21" s="30"/>
      <c r="M21" s="39" t="str">
        <f aca="false">IF(OR(E21="",G21=""),"",(G21-E21)/30.44)</f>
        <v/>
      </c>
      <c r="N21" s="46" t="str">
        <f aca="false">IF(OR(F21="",H21=""),"",H21-F21)</f>
        <v/>
      </c>
      <c r="O21" s="46" t="str">
        <f aca="false">IF(OR(F21="",D21="",D21=0),"",F21/D21)</f>
        <v/>
      </c>
      <c r="P21" s="46" t="str">
        <f aca="false">IF(OR(H21="",D21="",D21=0),"",H21/D21)</f>
        <v/>
      </c>
      <c r="Q21" s="46" t="str">
        <f aca="false">IF(H21="","",IF(I21&lt;&gt;"",I21,IF(D21="","",D21*$E$3)))</f>
        <v/>
      </c>
      <c r="R21" s="46" t="str">
        <f aca="false">IF(H21="","",H21*$E$4)</f>
        <v/>
      </c>
      <c r="S21" s="46" t="str">
        <f aca="false">IF(OR(F21="",H21="",Q21=""),"",H21-F21-Q21-R21)</f>
        <v/>
      </c>
      <c r="T21" s="24" t="str">
        <f aca="false">IF(OR(S21="",H21="",H21=0),"",S21/H21)</f>
        <v/>
      </c>
    </row>
    <row r="22" customFormat="false" ht="15" hidden="false" customHeight="false" outlineLevel="0" collapsed="false">
      <c r="A22" s="30"/>
      <c r="B22" s="30"/>
      <c r="C22" s="30"/>
      <c r="D22" s="27"/>
      <c r="E22" s="43"/>
      <c r="F22" s="41"/>
      <c r="G22" s="43"/>
      <c r="H22" s="41"/>
      <c r="I22" s="41"/>
      <c r="J22" s="30"/>
      <c r="K22" s="30"/>
      <c r="L22" s="30"/>
      <c r="M22" s="39" t="str">
        <f aca="false">IF(OR(E22="",G22=""),"",(G22-E22)/30.44)</f>
        <v/>
      </c>
      <c r="N22" s="46" t="str">
        <f aca="false">IF(OR(F22="",H22=""),"",H22-F22)</f>
        <v/>
      </c>
      <c r="O22" s="46" t="str">
        <f aca="false">IF(OR(F22="",D22="",D22=0),"",F22/D22)</f>
        <v/>
      </c>
      <c r="P22" s="46" t="str">
        <f aca="false">IF(OR(H22="",D22="",D22=0),"",H22/D22)</f>
        <v/>
      </c>
      <c r="Q22" s="46" t="str">
        <f aca="false">IF(H22="","",IF(I22&lt;&gt;"",I22,IF(D22="","",D22*$E$3)))</f>
        <v/>
      </c>
      <c r="R22" s="46" t="str">
        <f aca="false">IF(H22="","",H22*$E$4)</f>
        <v/>
      </c>
      <c r="S22" s="46" t="str">
        <f aca="false">IF(OR(F22="",H22="",Q22=""),"",H22-F22-Q22-R22)</f>
        <v/>
      </c>
      <c r="T22" s="24" t="str">
        <f aca="false">IF(OR(S22="",H22="",H22=0),"",S22/H22)</f>
        <v/>
      </c>
    </row>
    <row r="23" customFormat="false" ht="15" hidden="false" customHeight="false" outlineLevel="0" collapsed="false">
      <c r="A23" s="30"/>
      <c r="B23" s="30"/>
      <c r="C23" s="30"/>
      <c r="D23" s="27"/>
      <c r="E23" s="43"/>
      <c r="F23" s="41"/>
      <c r="G23" s="43"/>
      <c r="H23" s="41"/>
      <c r="I23" s="41"/>
      <c r="J23" s="30"/>
      <c r="K23" s="30"/>
      <c r="L23" s="30"/>
      <c r="M23" s="39" t="str">
        <f aca="false">IF(OR(E23="",G23=""),"",(G23-E23)/30.44)</f>
        <v/>
      </c>
      <c r="N23" s="46" t="str">
        <f aca="false">IF(OR(F23="",H23=""),"",H23-F23)</f>
        <v/>
      </c>
      <c r="O23" s="46" t="str">
        <f aca="false">IF(OR(F23="",D23="",D23=0),"",F23/D23)</f>
        <v/>
      </c>
      <c r="P23" s="46" t="str">
        <f aca="false">IF(OR(H23="",D23="",D23=0),"",H23/D23)</f>
        <v/>
      </c>
      <c r="Q23" s="46" t="str">
        <f aca="false">IF(H23="","",IF(I23&lt;&gt;"",I23,IF(D23="","",D23*$E$3)))</f>
        <v/>
      </c>
      <c r="R23" s="46" t="str">
        <f aca="false">IF(H23="","",H23*$E$4)</f>
        <v/>
      </c>
      <c r="S23" s="46" t="str">
        <f aca="false">IF(OR(F23="",H23="",Q23=""),"",H23-F23-Q23-R23)</f>
        <v/>
      </c>
      <c r="T23" s="24" t="str">
        <f aca="false">IF(OR(S23="",H23="",H23=0),"",S23/H23)</f>
        <v/>
      </c>
    </row>
    <row r="24" customFormat="false" ht="15" hidden="false" customHeight="false" outlineLevel="0" collapsed="false">
      <c r="A24" s="30"/>
      <c r="B24" s="30"/>
      <c r="C24" s="30"/>
      <c r="D24" s="27"/>
      <c r="E24" s="43"/>
      <c r="F24" s="41"/>
      <c r="G24" s="43"/>
      <c r="H24" s="41"/>
      <c r="I24" s="41"/>
      <c r="J24" s="30"/>
      <c r="K24" s="30"/>
      <c r="L24" s="30"/>
      <c r="M24" s="39" t="str">
        <f aca="false">IF(OR(E24="",G24=""),"",(G24-E24)/30.44)</f>
        <v/>
      </c>
      <c r="N24" s="46" t="str">
        <f aca="false">IF(OR(F24="",H24=""),"",H24-F24)</f>
        <v/>
      </c>
      <c r="O24" s="46" t="str">
        <f aca="false">IF(OR(F24="",D24="",D24=0),"",F24/D24)</f>
        <v/>
      </c>
      <c r="P24" s="46" t="str">
        <f aca="false">IF(OR(H24="",D24="",D24=0),"",H24/D24)</f>
        <v/>
      </c>
      <c r="Q24" s="46" t="str">
        <f aca="false">IF(H24="","",IF(I24&lt;&gt;"",I24,IF(D24="","",D24*$E$3)))</f>
        <v/>
      </c>
      <c r="R24" s="46" t="str">
        <f aca="false">IF(H24="","",H24*$E$4)</f>
        <v/>
      </c>
      <c r="S24" s="46" t="str">
        <f aca="false">IF(OR(F24="",H24="",Q24=""),"",H24-F24-Q24-R24)</f>
        <v/>
      </c>
      <c r="T24" s="24" t="str">
        <f aca="false">IF(OR(S24="",H24="",H24=0),"",S24/H24)</f>
        <v/>
      </c>
    </row>
    <row r="25" customFormat="false" ht="15" hidden="false" customHeight="false" outlineLevel="0" collapsed="false">
      <c r="A25" s="30"/>
      <c r="B25" s="30"/>
      <c r="C25" s="30"/>
      <c r="D25" s="27"/>
      <c r="E25" s="43"/>
      <c r="F25" s="41"/>
      <c r="G25" s="43"/>
      <c r="H25" s="41"/>
      <c r="I25" s="41"/>
      <c r="J25" s="30"/>
      <c r="K25" s="30"/>
      <c r="L25" s="30"/>
      <c r="M25" s="39" t="str">
        <f aca="false">IF(OR(E25="",G25=""),"",(G25-E25)/30.44)</f>
        <v/>
      </c>
      <c r="N25" s="46" t="str">
        <f aca="false">IF(OR(F25="",H25=""),"",H25-F25)</f>
        <v/>
      </c>
      <c r="O25" s="46" t="str">
        <f aca="false">IF(OR(F25="",D25="",D25=0),"",F25/D25)</f>
        <v/>
      </c>
      <c r="P25" s="46" t="str">
        <f aca="false">IF(OR(H25="",D25="",D25=0),"",H25/D25)</f>
        <v/>
      </c>
      <c r="Q25" s="46" t="str">
        <f aca="false">IF(H25="","",IF(I25&lt;&gt;"",I25,IF(D25="","",D25*$E$3)))</f>
        <v/>
      </c>
      <c r="R25" s="46" t="str">
        <f aca="false">IF(H25="","",H25*$E$4)</f>
        <v/>
      </c>
      <c r="S25" s="46" t="str">
        <f aca="false">IF(OR(F25="",H25="",Q25=""),"",H25-F25-Q25-R25)</f>
        <v/>
      </c>
      <c r="T25" s="24" t="str">
        <f aca="false">IF(OR(S25="",H25="",H25=0),"",S25/H25)</f>
        <v/>
      </c>
    </row>
    <row r="26" customFormat="false" ht="15" hidden="false" customHeight="false" outlineLevel="0" collapsed="false">
      <c r="A26" s="30"/>
      <c r="B26" s="30"/>
      <c r="C26" s="30"/>
      <c r="D26" s="27"/>
      <c r="E26" s="43"/>
      <c r="F26" s="41"/>
      <c r="G26" s="43"/>
      <c r="H26" s="41"/>
      <c r="I26" s="41"/>
      <c r="J26" s="30"/>
      <c r="K26" s="30"/>
      <c r="L26" s="30"/>
      <c r="M26" s="39" t="str">
        <f aca="false">IF(OR(E26="",G26=""),"",(G26-E26)/30.44)</f>
        <v/>
      </c>
      <c r="N26" s="46" t="str">
        <f aca="false">IF(OR(F26="",H26=""),"",H26-F26)</f>
        <v/>
      </c>
      <c r="O26" s="46" t="str">
        <f aca="false">IF(OR(F26="",D26="",D26=0),"",F26/D26)</f>
        <v/>
      </c>
      <c r="P26" s="46" t="str">
        <f aca="false">IF(OR(H26="",D26="",D26=0),"",H26/D26)</f>
        <v/>
      </c>
      <c r="Q26" s="46" t="str">
        <f aca="false">IF(H26="","",IF(I26&lt;&gt;"",I26,IF(D26="","",D26*$E$3)))</f>
        <v/>
      </c>
      <c r="R26" s="46" t="str">
        <f aca="false">IF(H26="","",H26*$E$4)</f>
        <v/>
      </c>
      <c r="S26" s="46" t="str">
        <f aca="false">IF(OR(F26="",H26="",Q26=""),"",H26-F26-Q26-R26)</f>
        <v/>
      </c>
      <c r="T26" s="24" t="str">
        <f aca="false">IF(OR(S26="",H26="",H26=0),"",S26/H26)</f>
        <v/>
      </c>
    </row>
    <row r="27" customFormat="false" ht="15" hidden="false" customHeight="false" outlineLevel="0" collapsed="false">
      <c r="A27" s="30"/>
      <c r="B27" s="30"/>
      <c r="C27" s="30"/>
      <c r="D27" s="27"/>
      <c r="E27" s="43"/>
      <c r="F27" s="41"/>
      <c r="G27" s="43"/>
      <c r="H27" s="41"/>
      <c r="I27" s="41"/>
      <c r="J27" s="30"/>
      <c r="K27" s="30"/>
      <c r="L27" s="30"/>
      <c r="M27" s="39" t="str">
        <f aca="false">IF(OR(E27="",G27=""),"",(G27-E27)/30.44)</f>
        <v/>
      </c>
      <c r="N27" s="46" t="str">
        <f aca="false">IF(OR(F27="",H27=""),"",H27-F27)</f>
        <v/>
      </c>
      <c r="O27" s="46" t="str">
        <f aca="false">IF(OR(F27="",D27="",D27=0),"",F27/D27)</f>
        <v/>
      </c>
      <c r="P27" s="46" t="str">
        <f aca="false">IF(OR(H27="",D27="",D27=0),"",H27/D27)</f>
        <v/>
      </c>
      <c r="Q27" s="46" t="str">
        <f aca="false">IF(H27="","",IF(I27&lt;&gt;"",I27,IF(D27="","",D27*$E$3)))</f>
        <v/>
      </c>
      <c r="R27" s="46" t="str">
        <f aca="false">IF(H27="","",H27*$E$4)</f>
        <v/>
      </c>
      <c r="S27" s="46" t="str">
        <f aca="false">IF(OR(F27="",H27="",Q27=""),"",H27-F27-Q27-R27)</f>
        <v/>
      </c>
      <c r="T27" s="24" t="str">
        <f aca="false">IF(OR(S27="",H27="",H27=0),"",S27/H27)</f>
        <v/>
      </c>
    </row>
    <row r="28" customFormat="false" ht="15" hidden="false" customHeight="false" outlineLevel="0" collapsed="false">
      <c r="A28" s="30"/>
      <c r="B28" s="30"/>
      <c r="C28" s="30"/>
      <c r="D28" s="27"/>
      <c r="E28" s="43"/>
      <c r="F28" s="41"/>
      <c r="G28" s="43"/>
      <c r="H28" s="41"/>
      <c r="I28" s="41"/>
      <c r="J28" s="30"/>
      <c r="K28" s="30"/>
      <c r="L28" s="30"/>
      <c r="M28" s="39" t="str">
        <f aca="false">IF(OR(E28="",G28=""),"",(G28-E28)/30.44)</f>
        <v/>
      </c>
      <c r="N28" s="46" t="str">
        <f aca="false">IF(OR(F28="",H28=""),"",H28-F28)</f>
        <v/>
      </c>
      <c r="O28" s="46" t="str">
        <f aca="false">IF(OR(F28="",D28="",D28=0),"",F28/D28)</f>
        <v/>
      </c>
      <c r="P28" s="46" t="str">
        <f aca="false">IF(OR(H28="",D28="",D28=0),"",H28/D28)</f>
        <v/>
      </c>
      <c r="Q28" s="46" t="str">
        <f aca="false">IF(H28="","",IF(I28&lt;&gt;"",I28,IF(D28="","",D28*$E$3)))</f>
        <v/>
      </c>
      <c r="R28" s="46" t="str">
        <f aca="false">IF(H28="","",H28*$E$4)</f>
        <v/>
      </c>
      <c r="S28" s="46" t="str">
        <f aca="false">IF(OR(F28="",H28="",Q28=""),"",H28-F28-Q28-R28)</f>
        <v/>
      </c>
      <c r="T28" s="24" t="str">
        <f aca="false">IF(OR(S28="",H28="",H28=0),"",S28/H28)</f>
        <v/>
      </c>
    </row>
    <row r="29" customFormat="false" ht="15" hidden="false" customHeight="false" outlineLevel="0" collapsed="false">
      <c r="A29" s="30"/>
      <c r="B29" s="30"/>
      <c r="C29" s="30"/>
      <c r="D29" s="27"/>
      <c r="E29" s="43"/>
      <c r="F29" s="41"/>
      <c r="G29" s="43"/>
      <c r="H29" s="41"/>
      <c r="I29" s="41"/>
      <c r="J29" s="30"/>
      <c r="K29" s="30"/>
      <c r="L29" s="30"/>
      <c r="M29" s="39" t="str">
        <f aca="false">IF(OR(E29="",G29=""),"",(G29-E29)/30.44)</f>
        <v/>
      </c>
      <c r="N29" s="46" t="str">
        <f aca="false">IF(OR(F29="",H29=""),"",H29-F29)</f>
        <v/>
      </c>
      <c r="O29" s="46" t="str">
        <f aca="false">IF(OR(F29="",D29="",D29=0),"",F29/D29)</f>
        <v/>
      </c>
      <c r="P29" s="46" t="str">
        <f aca="false">IF(OR(H29="",D29="",D29=0),"",H29/D29)</f>
        <v/>
      </c>
      <c r="Q29" s="46" t="str">
        <f aca="false">IF(H29="","",IF(I29&lt;&gt;"",I29,IF(D29="","",D29*$E$3)))</f>
        <v/>
      </c>
      <c r="R29" s="46" t="str">
        <f aca="false">IF(H29="","",H29*$E$4)</f>
        <v/>
      </c>
      <c r="S29" s="46" t="str">
        <f aca="false">IF(OR(F29="",H29="",Q29=""),"",H29-F29-Q29-R29)</f>
        <v/>
      </c>
      <c r="T29" s="24" t="str">
        <f aca="false">IF(OR(S29="",H29="",H29=0),"",S29/H29)</f>
        <v/>
      </c>
    </row>
    <row r="30" customFormat="false" ht="15" hidden="false" customHeight="false" outlineLevel="0" collapsed="false">
      <c r="A30" s="30"/>
      <c r="B30" s="30"/>
      <c r="C30" s="30"/>
      <c r="D30" s="27"/>
      <c r="E30" s="43"/>
      <c r="F30" s="41"/>
      <c r="G30" s="43"/>
      <c r="H30" s="41"/>
      <c r="I30" s="41"/>
      <c r="J30" s="30"/>
      <c r="K30" s="30"/>
      <c r="L30" s="30"/>
      <c r="M30" s="39" t="str">
        <f aca="false">IF(OR(E30="",G30=""),"",(G30-E30)/30.44)</f>
        <v/>
      </c>
      <c r="N30" s="46" t="str">
        <f aca="false">IF(OR(F30="",H30=""),"",H30-F30)</f>
        <v/>
      </c>
      <c r="O30" s="46" t="str">
        <f aca="false">IF(OR(F30="",D30="",D30=0),"",F30/D30)</f>
        <v/>
      </c>
      <c r="P30" s="46" t="str">
        <f aca="false">IF(OR(H30="",D30="",D30=0),"",H30/D30)</f>
        <v/>
      </c>
      <c r="Q30" s="46" t="str">
        <f aca="false">IF(H30="","",IF(I30&lt;&gt;"",I30,IF(D30="","",D30*$E$3)))</f>
        <v/>
      </c>
      <c r="R30" s="46" t="str">
        <f aca="false">IF(H30="","",H30*$E$4)</f>
        <v/>
      </c>
      <c r="S30" s="46" t="str">
        <f aca="false">IF(OR(F30="",H30="",Q30=""),"",H30-F30-Q30-R30)</f>
        <v/>
      </c>
      <c r="T30" s="24" t="str">
        <f aca="false">IF(OR(S30="",H30="",H30=0),"",S30/H30)</f>
        <v/>
      </c>
    </row>
    <row r="31" customFormat="false" ht="15" hidden="false" customHeight="false" outlineLevel="0" collapsed="false">
      <c r="A31" s="30"/>
      <c r="B31" s="30"/>
      <c r="C31" s="30"/>
      <c r="D31" s="27"/>
      <c r="E31" s="43"/>
      <c r="F31" s="41"/>
      <c r="G31" s="43"/>
      <c r="H31" s="41"/>
      <c r="I31" s="41"/>
      <c r="J31" s="30"/>
      <c r="K31" s="30"/>
      <c r="L31" s="30"/>
      <c r="M31" s="39" t="str">
        <f aca="false">IF(OR(E31="",G31=""),"",(G31-E31)/30.44)</f>
        <v/>
      </c>
      <c r="N31" s="46" t="str">
        <f aca="false">IF(OR(F31="",H31=""),"",H31-F31)</f>
        <v/>
      </c>
      <c r="O31" s="46" t="str">
        <f aca="false">IF(OR(F31="",D31="",D31=0),"",F31/D31)</f>
        <v/>
      </c>
      <c r="P31" s="46" t="str">
        <f aca="false">IF(OR(H31="",D31="",D31=0),"",H31/D31)</f>
        <v/>
      </c>
      <c r="Q31" s="46" t="str">
        <f aca="false">IF(H31="","",IF(I31&lt;&gt;"",I31,IF(D31="","",D31*$E$3)))</f>
        <v/>
      </c>
      <c r="R31" s="46" t="str">
        <f aca="false">IF(H31="","",H31*$E$4)</f>
        <v/>
      </c>
      <c r="S31" s="46" t="str">
        <f aca="false">IF(OR(F31="",H31="",Q31=""),"",H31-F31-Q31-R31)</f>
        <v/>
      </c>
      <c r="T31" s="24" t="str">
        <f aca="false">IF(OR(S31="",H31="",H31=0),"",S31/H31)</f>
        <v/>
      </c>
    </row>
    <row r="32" customFormat="false" ht="15" hidden="false" customHeight="false" outlineLevel="0" collapsed="false">
      <c r="A32" s="30"/>
      <c r="B32" s="30"/>
      <c r="C32" s="30"/>
      <c r="D32" s="27"/>
      <c r="E32" s="43"/>
      <c r="F32" s="41"/>
      <c r="G32" s="43"/>
      <c r="H32" s="41"/>
      <c r="I32" s="41"/>
      <c r="J32" s="30"/>
      <c r="K32" s="30"/>
      <c r="L32" s="30"/>
      <c r="M32" s="39" t="str">
        <f aca="false">IF(OR(E32="",G32=""),"",(G32-E32)/30.44)</f>
        <v/>
      </c>
      <c r="N32" s="46" t="str">
        <f aca="false">IF(OR(F32="",H32=""),"",H32-F32)</f>
        <v/>
      </c>
      <c r="O32" s="46" t="str">
        <f aca="false">IF(OR(F32="",D32="",D32=0),"",F32/D32)</f>
        <v/>
      </c>
      <c r="P32" s="46" t="str">
        <f aca="false">IF(OR(H32="",D32="",D32=0),"",H32/D32)</f>
        <v/>
      </c>
      <c r="Q32" s="46" t="str">
        <f aca="false">IF(H32="","",IF(I32&lt;&gt;"",I32,IF(D32="","",D32*$E$3)))</f>
        <v/>
      </c>
      <c r="R32" s="46" t="str">
        <f aca="false">IF(H32="","",H32*$E$4)</f>
        <v/>
      </c>
      <c r="S32" s="46" t="str">
        <f aca="false">IF(OR(F32="",H32="",Q32=""),"",H32-F32-Q32-R32)</f>
        <v/>
      </c>
      <c r="T32" s="24" t="str">
        <f aca="false">IF(OR(S32="",H32="",H32=0),"",S32/H32)</f>
        <v/>
      </c>
    </row>
    <row r="33" customFormat="false" ht="15" hidden="false" customHeight="false" outlineLevel="0" collapsed="false">
      <c r="A33" s="30"/>
      <c r="B33" s="30"/>
      <c r="C33" s="30"/>
      <c r="D33" s="27"/>
      <c r="E33" s="43"/>
      <c r="F33" s="41"/>
      <c r="G33" s="43"/>
      <c r="H33" s="41"/>
      <c r="I33" s="41"/>
      <c r="J33" s="30"/>
      <c r="K33" s="30"/>
      <c r="L33" s="30"/>
      <c r="M33" s="39" t="str">
        <f aca="false">IF(OR(E33="",G33=""),"",(G33-E33)/30.44)</f>
        <v/>
      </c>
      <c r="N33" s="46" t="str">
        <f aca="false">IF(OR(F33="",H33=""),"",H33-F33)</f>
        <v/>
      </c>
      <c r="O33" s="46" t="str">
        <f aca="false">IF(OR(F33="",D33="",D33=0),"",F33/D33)</f>
        <v/>
      </c>
      <c r="P33" s="46" t="str">
        <f aca="false">IF(OR(H33="",D33="",D33=0),"",H33/D33)</f>
        <v/>
      </c>
      <c r="Q33" s="46" t="str">
        <f aca="false">IF(H33="","",IF(I33&lt;&gt;"",I33,IF(D33="","",D33*$E$3)))</f>
        <v/>
      </c>
      <c r="R33" s="46" t="str">
        <f aca="false">IF(H33="","",H33*$E$4)</f>
        <v/>
      </c>
      <c r="S33" s="46" t="str">
        <f aca="false">IF(OR(F33="",H33="",Q33=""),"",H33-F33-Q33-R33)</f>
        <v/>
      </c>
      <c r="T33" s="24" t="str">
        <f aca="false">IF(OR(S33="",H33="",H33=0),"",S33/H33)</f>
        <v/>
      </c>
    </row>
    <row r="34" customFormat="false" ht="15" hidden="false" customHeight="false" outlineLevel="0" collapsed="false">
      <c r="A34" s="30"/>
      <c r="B34" s="30"/>
      <c r="C34" s="30"/>
      <c r="D34" s="27"/>
      <c r="E34" s="43"/>
      <c r="F34" s="41"/>
      <c r="G34" s="43"/>
      <c r="H34" s="41"/>
      <c r="I34" s="41"/>
      <c r="J34" s="30"/>
      <c r="K34" s="30"/>
      <c r="L34" s="30"/>
      <c r="M34" s="39" t="str">
        <f aca="false">IF(OR(E34="",G34=""),"",(G34-E34)/30.44)</f>
        <v/>
      </c>
      <c r="N34" s="46" t="str">
        <f aca="false">IF(OR(F34="",H34=""),"",H34-F34)</f>
        <v/>
      </c>
      <c r="O34" s="46" t="str">
        <f aca="false">IF(OR(F34="",D34="",D34=0),"",F34/D34)</f>
        <v/>
      </c>
      <c r="P34" s="46" t="str">
        <f aca="false">IF(OR(H34="",D34="",D34=0),"",H34/D34)</f>
        <v/>
      </c>
      <c r="Q34" s="46" t="str">
        <f aca="false">IF(H34="","",IF(I34&lt;&gt;"",I34,IF(D34="","",D34*$E$3)))</f>
        <v/>
      </c>
      <c r="R34" s="46" t="str">
        <f aca="false">IF(H34="","",H34*$E$4)</f>
        <v/>
      </c>
      <c r="S34" s="46" t="str">
        <f aca="false">IF(OR(F34="",H34="",Q34=""),"",H34-F34-Q34-R34)</f>
        <v/>
      </c>
      <c r="T34" s="24" t="str">
        <f aca="false">IF(OR(S34="",H34="",H34=0),"",S34/H34)</f>
        <v/>
      </c>
    </row>
    <row r="35" customFormat="false" ht="15" hidden="false" customHeight="false" outlineLevel="0" collapsed="false">
      <c r="A35" s="30"/>
      <c r="B35" s="30"/>
      <c r="C35" s="30"/>
      <c r="D35" s="27"/>
      <c r="E35" s="43"/>
      <c r="F35" s="41"/>
      <c r="G35" s="43"/>
      <c r="H35" s="41"/>
      <c r="I35" s="41"/>
      <c r="J35" s="30"/>
      <c r="K35" s="30"/>
      <c r="L35" s="30"/>
      <c r="M35" s="39" t="str">
        <f aca="false">IF(OR(E35="",G35=""),"",(G35-E35)/30.44)</f>
        <v/>
      </c>
      <c r="N35" s="46" t="str">
        <f aca="false">IF(OR(F35="",H35=""),"",H35-F35)</f>
        <v/>
      </c>
      <c r="O35" s="46" t="str">
        <f aca="false">IF(OR(F35="",D35="",D35=0),"",F35/D35)</f>
        <v/>
      </c>
      <c r="P35" s="46" t="str">
        <f aca="false">IF(OR(H35="",D35="",D35=0),"",H35/D35)</f>
        <v/>
      </c>
      <c r="Q35" s="46" t="str">
        <f aca="false">IF(H35="","",IF(I35&lt;&gt;"",I35,IF(D35="","",D35*$E$3)))</f>
        <v/>
      </c>
      <c r="R35" s="46" t="str">
        <f aca="false">IF(H35="","",H35*$E$4)</f>
        <v/>
      </c>
      <c r="S35" s="46" t="str">
        <f aca="false">IF(OR(F35="",H35="",Q35=""),"",H35-F35-Q35-R35)</f>
        <v/>
      </c>
      <c r="T35" s="24" t="str">
        <f aca="false">IF(OR(S35="",H35="",H35=0),"",S35/H35)</f>
        <v/>
      </c>
    </row>
    <row r="36" customFormat="false" ht="15" hidden="false" customHeight="false" outlineLevel="0" collapsed="false">
      <c r="A36" s="30"/>
      <c r="B36" s="30"/>
      <c r="C36" s="30"/>
      <c r="D36" s="27"/>
      <c r="E36" s="43"/>
      <c r="F36" s="41"/>
      <c r="G36" s="43"/>
      <c r="H36" s="41"/>
      <c r="I36" s="41"/>
      <c r="J36" s="30"/>
      <c r="K36" s="30"/>
      <c r="L36" s="30"/>
      <c r="M36" s="39" t="str">
        <f aca="false">IF(OR(E36="",G36=""),"",(G36-E36)/30.44)</f>
        <v/>
      </c>
      <c r="N36" s="46" t="str">
        <f aca="false">IF(OR(F36="",H36=""),"",H36-F36)</f>
        <v/>
      </c>
      <c r="O36" s="46" t="str">
        <f aca="false">IF(OR(F36="",D36="",D36=0),"",F36/D36)</f>
        <v/>
      </c>
      <c r="P36" s="46" t="str">
        <f aca="false">IF(OR(H36="",D36="",D36=0),"",H36/D36)</f>
        <v/>
      </c>
      <c r="Q36" s="46" t="str">
        <f aca="false">IF(H36="","",IF(I36&lt;&gt;"",I36,IF(D36="","",D36*$E$3)))</f>
        <v/>
      </c>
      <c r="R36" s="46" t="str">
        <f aca="false">IF(H36="","",H36*$E$4)</f>
        <v/>
      </c>
      <c r="S36" s="46" t="str">
        <f aca="false">IF(OR(F36="",H36="",Q36=""),"",H36-F36-Q36-R36)</f>
        <v/>
      </c>
      <c r="T36" s="24" t="str">
        <f aca="false">IF(OR(S36="",H36="",H36=0),"",S36/H36)</f>
        <v/>
      </c>
    </row>
    <row r="37" customFormat="false" ht="15" hidden="false" customHeight="false" outlineLevel="0" collapsed="false">
      <c r="A37" s="30"/>
      <c r="B37" s="30"/>
      <c r="C37" s="30"/>
      <c r="D37" s="27"/>
      <c r="E37" s="43"/>
      <c r="F37" s="41"/>
      <c r="G37" s="43"/>
      <c r="H37" s="41"/>
      <c r="I37" s="41"/>
      <c r="J37" s="30"/>
      <c r="K37" s="30"/>
      <c r="L37" s="30"/>
      <c r="M37" s="39" t="str">
        <f aca="false">IF(OR(E37="",G37=""),"",(G37-E37)/30.44)</f>
        <v/>
      </c>
      <c r="N37" s="46" t="str">
        <f aca="false">IF(OR(F37="",H37=""),"",H37-F37)</f>
        <v/>
      </c>
      <c r="O37" s="46" t="str">
        <f aca="false">IF(OR(F37="",D37="",D37=0),"",F37/D37)</f>
        <v/>
      </c>
      <c r="P37" s="46" t="str">
        <f aca="false">IF(OR(H37="",D37="",D37=0),"",H37/D37)</f>
        <v/>
      </c>
      <c r="Q37" s="46" t="str">
        <f aca="false">IF(H37="","",IF(I37&lt;&gt;"",I37,IF(D37="","",D37*$E$3)))</f>
        <v/>
      </c>
      <c r="R37" s="46" t="str">
        <f aca="false">IF(H37="","",H37*$E$4)</f>
        <v/>
      </c>
      <c r="S37" s="46" t="str">
        <f aca="false">IF(OR(F37="",H37="",Q37=""),"",H37-F37-Q37-R37)</f>
        <v/>
      </c>
      <c r="T37" s="24" t="str">
        <f aca="false">IF(OR(S37="",H37="",H37=0),"",S37/H37)</f>
        <v/>
      </c>
    </row>
    <row r="38" customFormat="false" ht="15" hidden="false" customHeight="false" outlineLevel="0" collapsed="false">
      <c r="A38" s="30"/>
      <c r="B38" s="30"/>
      <c r="C38" s="30"/>
      <c r="D38" s="27"/>
      <c r="E38" s="43"/>
      <c r="F38" s="41"/>
      <c r="G38" s="43"/>
      <c r="H38" s="41"/>
      <c r="I38" s="41"/>
      <c r="J38" s="30"/>
      <c r="K38" s="30"/>
      <c r="L38" s="30"/>
      <c r="M38" s="39" t="str">
        <f aca="false">IF(OR(E38="",G38=""),"",(G38-E38)/30.44)</f>
        <v/>
      </c>
      <c r="N38" s="46" t="str">
        <f aca="false">IF(OR(F38="",H38=""),"",H38-F38)</f>
        <v/>
      </c>
      <c r="O38" s="46" t="str">
        <f aca="false">IF(OR(F38="",D38="",D38=0),"",F38/D38)</f>
        <v/>
      </c>
      <c r="P38" s="46" t="str">
        <f aca="false">IF(OR(H38="",D38="",D38=0),"",H38/D38)</f>
        <v/>
      </c>
      <c r="Q38" s="46" t="str">
        <f aca="false">IF(H38="","",IF(I38&lt;&gt;"",I38,IF(D38="","",D38*$E$3)))</f>
        <v/>
      </c>
      <c r="R38" s="46" t="str">
        <f aca="false">IF(H38="","",H38*$E$4)</f>
        <v/>
      </c>
      <c r="S38" s="46" t="str">
        <f aca="false">IF(OR(F38="",H38="",Q38=""),"",H38-F38-Q38-R38)</f>
        <v/>
      </c>
      <c r="T38" s="24" t="str">
        <f aca="false">IF(OR(S38="",H38="",H38=0),"",S38/H38)</f>
        <v/>
      </c>
    </row>
    <row r="39" customFormat="false" ht="15" hidden="false" customHeight="false" outlineLevel="0" collapsed="false">
      <c r="A39" s="30"/>
      <c r="B39" s="30"/>
      <c r="C39" s="30"/>
      <c r="D39" s="27"/>
      <c r="E39" s="43"/>
      <c r="F39" s="41"/>
      <c r="G39" s="43"/>
      <c r="H39" s="41"/>
      <c r="I39" s="41"/>
      <c r="J39" s="30"/>
      <c r="K39" s="30"/>
      <c r="L39" s="30"/>
      <c r="M39" s="39" t="str">
        <f aca="false">IF(OR(E39="",G39=""),"",(G39-E39)/30.44)</f>
        <v/>
      </c>
      <c r="N39" s="46" t="str">
        <f aca="false">IF(OR(F39="",H39=""),"",H39-F39)</f>
        <v/>
      </c>
      <c r="O39" s="46" t="str">
        <f aca="false">IF(OR(F39="",D39="",D39=0),"",F39/D39)</f>
        <v/>
      </c>
      <c r="P39" s="46" t="str">
        <f aca="false">IF(OR(H39="",D39="",D39=0),"",H39/D39)</f>
        <v/>
      </c>
      <c r="Q39" s="46" t="str">
        <f aca="false">IF(H39="","",IF(I39&lt;&gt;"",I39,IF(D39="","",D39*$E$3)))</f>
        <v/>
      </c>
      <c r="R39" s="46" t="str">
        <f aca="false">IF(H39="","",H39*$E$4)</f>
        <v/>
      </c>
      <c r="S39" s="46" t="str">
        <f aca="false">IF(OR(F39="",H39="",Q39=""),"",H39-F39-Q39-R39)</f>
        <v/>
      </c>
      <c r="T39" s="24" t="str">
        <f aca="false">IF(OR(S39="",H39="",H39=0),"",S39/H39)</f>
        <v/>
      </c>
    </row>
    <row r="40" customFormat="false" ht="15" hidden="false" customHeight="false" outlineLevel="0" collapsed="false">
      <c r="A40" s="30"/>
      <c r="B40" s="30"/>
      <c r="C40" s="30"/>
      <c r="D40" s="27"/>
      <c r="E40" s="43"/>
      <c r="F40" s="41"/>
      <c r="G40" s="43"/>
      <c r="H40" s="41"/>
      <c r="I40" s="41"/>
      <c r="J40" s="30"/>
      <c r="K40" s="30"/>
      <c r="L40" s="30"/>
      <c r="M40" s="39" t="str">
        <f aca="false">IF(OR(E40="",G40=""),"",(G40-E40)/30.44)</f>
        <v/>
      </c>
      <c r="N40" s="46" t="str">
        <f aca="false">IF(OR(F40="",H40=""),"",H40-F40)</f>
        <v/>
      </c>
      <c r="O40" s="46" t="str">
        <f aca="false">IF(OR(F40="",D40="",D40=0),"",F40/D40)</f>
        <v/>
      </c>
      <c r="P40" s="46" t="str">
        <f aca="false">IF(OR(H40="",D40="",D40=0),"",H40/D40)</f>
        <v/>
      </c>
      <c r="Q40" s="46" t="str">
        <f aca="false">IF(H40="","",IF(I40&lt;&gt;"",I40,IF(D40="","",D40*$E$3)))</f>
        <v/>
      </c>
      <c r="R40" s="46" t="str">
        <f aca="false">IF(H40="","",H40*$E$4)</f>
        <v/>
      </c>
      <c r="S40" s="46" t="str">
        <f aca="false">IF(OR(F40="",H40="",Q40=""),"",H40-F40-Q40-R40)</f>
        <v/>
      </c>
      <c r="T40" s="24" t="str">
        <f aca="false">IF(OR(S40="",H40="",H40=0),"",S40/H40)</f>
        <v/>
      </c>
    </row>
    <row r="41" customFormat="false" ht="15" hidden="false" customHeight="false" outlineLevel="0" collapsed="false">
      <c r="A41" s="30"/>
      <c r="B41" s="30"/>
      <c r="C41" s="30"/>
      <c r="D41" s="27"/>
      <c r="E41" s="43"/>
      <c r="F41" s="41"/>
      <c r="G41" s="43"/>
      <c r="H41" s="41"/>
      <c r="I41" s="41"/>
      <c r="J41" s="30"/>
      <c r="K41" s="30"/>
      <c r="L41" s="30"/>
      <c r="M41" s="39" t="str">
        <f aca="false">IF(OR(E41="",G41=""),"",(G41-E41)/30.44)</f>
        <v/>
      </c>
      <c r="N41" s="46" t="str">
        <f aca="false">IF(OR(F41="",H41=""),"",H41-F41)</f>
        <v/>
      </c>
      <c r="O41" s="46" t="str">
        <f aca="false">IF(OR(F41="",D41="",D41=0),"",F41/D41)</f>
        <v/>
      </c>
      <c r="P41" s="46" t="str">
        <f aca="false">IF(OR(H41="",D41="",D41=0),"",H41/D41)</f>
        <v/>
      </c>
      <c r="Q41" s="46" t="str">
        <f aca="false">IF(H41="","",IF(I41&lt;&gt;"",I41,IF(D41="","",D41*$E$3)))</f>
        <v/>
      </c>
      <c r="R41" s="46" t="str">
        <f aca="false">IF(H41="","",H41*$E$4)</f>
        <v/>
      </c>
      <c r="S41" s="46" t="str">
        <f aca="false">IF(OR(F41="",H41="",Q41=""),"",H41-F41-Q41-R41)</f>
        <v/>
      </c>
      <c r="T41" s="24" t="str">
        <f aca="false">IF(OR(S41="",H41="",H41=0),"",S41/H41)</f>
        <v/>
      </c>
    </row>
    <row r="42" customFormat="false" ht="15" hidden="false" customHeight="false" outlineLevel="0" collapsed="false">
      <c r="A42" s="30"/>
      <c r="B42" s="30"/>
      <c r="C42" s="30"/>
      <c r="D42" s="27"/>
      <c r="E42" s="43"/>
      <c r="F42" s="41"/>
      <c r="G42" s="43"/>
      <c r="H42" s="41"/>
      <c r="I42" s="41"/>
      <c r="J42" s="30"/>
      <c r="K42" s="30"/>
      <c r="L42" s="30"/>
      <c r="M42" s="39" t="str">
        <f aca="false">IF(OR(E42="",G42=""),"",(G42-E42)/30.44)</f>
        <v/>
      </c>
      <c r="N42" s="46" t="str">
        <f aca="false">IF(OR(F42="",H42=""),"",H42-F42)</f>
        <v/>
      </c>
      <c r="O42" s="46" t="str">
        <f aca="false">IF(OR(F42="",D42="",D42=0),"",F42/D42)</f>
        <v/>
      </c>
      <c r="P42" s="46" t="str">
        <f aca="false">IF(OR(H42="",D42="",D42=0),"",H42/D42)</f>
        <v/>
      </c>
      <c r="Q42" s="46" t="str">
        <f aca="false">IF(H42="","",IF(I42&lt;&gt;"",I42,IF(D42="","",D42*$E$3)))</f>
        <v/>
      </c>
      <c r="R42" s="46" t="str">
        <f aca="false">IF(H42="","",H42*$E$4)</f>
        <v/>
      </c>
      <c r="S42" s="46" t="str">
        <f aca="false">IF(OR(F42="",H42="",Q42=""),"",H42-F42-Q42-R42)</f>
        <v/>
      </c>
      <c r="T42" s="24" t="str">
        <f aca="false">IF(OR(S42="",H42="",H42=0),"",S42/H42)</f>
        <v/>
      </c>
    </row>
    <row r="43" customFormat="false" ht="15" hidden="false" customHeight="false" outlineLevel="0" collapsed="false">
      <c r="A43" s="30"/>
      <c r="B43" s="30"/>
      <c r="C43" s="30"/>
      <c r="D43" s="27"/>
      <c r="E43" s="43"/>
      <c r="F43" s="41"/>
      <c r="G43" s="43"/>
      <c r="H43" s="41"/>
      <c r="I43" s="41"/>
      <c r="J43" s="30"/>
      <c r="K43" s="30"/>
      <c r="L43" s="30"/>
      <c r="M43" s="39" t="str">
        <f aca="false">IF(OR(E43="",G43=""),"",(G43-E43)/30.44)</f>
        <v/>
      </c>
      <c r="N43" s="46" t="str">
        <f aca="false">IF(OR(F43="",H43=""),"",H43-F43)</f>
        <v/>
      </c>
      <c r="O43" s="46" t="str">
        <f aca="false">IF(OR(F43="",D43="",D43=0),"",F43/D43)</f>
        <v/>
      </c>
      <c r="P43" s="46" t="str">
        <f aca="false">IF(OR(H43="",D43="",D43=0),"",H43/D43)</f>
        <v/>
      </c>
      <c r="Q43" s="46" t="str">
        <f aca="false">IF(H43="","",IF(I43&lt;&gt;"",I43,IF(D43="","",D43*$E$3)))</f>
        <v/>
      </c>
      <c r="R43" s="46" t="str">
        <f aca="false">IF(H43="","",H43*$E$4)</f>
        <v/>
      </c>
      <c r="S43" s="46" t="str">
        <f aca="false">IF(OR(F43="",H43="",Q43=""),"",H43-F43-Q43-R43)</f>
        <v/>
      </c>
      <c r="T43" s="24" t="str">
        <f aca="false">IF(OR(S43="",H43="",H43=0),"",S43/H43)</f>
        <v/>
      </c>
    </row>
    <row r="44" customFormat="false" ht="15" hidden="false" customHeight="false" outlineLevel="0" collapsed="false">
      <c r="A44" s="30"/>
      <c r="B44" s="30"/>
      <c r="C44" s="30"/>
      <c r="D44" s="27"/>
      <c r="E44" s="43"/>
      <c r="F44" s="41"/>
      <c r="G44" s="43"/>
      <c r="H44" s="41"/>
      <c r="I44" s="41"/>
      <c r="J44" s="30"/>
      <c r="K44" s="30"/>
      <c r="L44" s="30"/>
      <c r="M44" s="39" t="str">
        <f aca="false">IF(OR(E44="",G44=""),"",(G44-E44)/30.44)</f>
        <v/>
      </c>
      <c r="N44" s="46" t="str">
        <f aca="false">IF(OR(F44="",H44=""),"",H44-F44)</f>
        <v/>
      </c>
      <c r="O44" s="46" t="str">
        <f aca="false">IF(OR(F44="",D44="",D44=0),"",F44/D44)</f>
        <v/>
      </c>
      <c r="P44" s="46" t="str">
        <f aca="false">IF(OR(H44="",D44="",D44=0),"",H44/D44)</f>
        <v/>
      </c>
      <c r="Q44" s="46" t="str">
        <f aca="false">IF(H44="","",IF(I44&lt;&gt;"",I44,IF(D44="","",D44*$E$3)))</f>
        <v/>
      </c>
      <c r="R44" s="46" t="str">
        <f aca="false">IF(H44="","",H44*$E$4)</f>
        <v/>
      </c>
      <c r="S44" s="46" t="str">
        <f aca="false">IF(OR(F44="",H44="",Q44=""),"",H44-F44-Q44-R44)</f>
        <v/>
      </c>
      <c r="T44" s="24" t="str">
        <f aca="false">IF(OR(S44="",H44="",H44=0),"",S44/H44)</f>
        <v/>
      </c>
    </row>
    <row r="45" customFormat="false" ht="15" hidden="false" customHeight="false" outlineLevel="0" collapsed="false">
      <c r="A45" s="30"/>
      <c r="B45" s="30"/>
      <c r="C45" s="30"/>
      <c r="D45" s="27"/>
      <c r="E45" s="43"/>
      <c r="F45" s="41"/>
      <c r="G45" s="43"/>
      <c r="H45" s="41"/>
      <c r="I45" s="41"/>
      <c r="J45" s="30"/>
      <c r="K45" s="30"/>
      <c r="L45" s="30"/>
      <c r="M45" s="39" t="str">
        <f aca="false">IF(OR(E45="",G45=""),"",(G45-E45)/30.44)</f>
        <v/>
      </c>
      <c r="N45" s="46" t="str">
        <f aca="false">IF(OR(F45="",H45=""),"",H45-F45)</f>
        <v/>
      </c>
      <c r="O45" s="46" t="str">
        <f aca="false">IF(OR(F45="",D45="",D45=0),"",F45/D45)</f>
        <v/>
      </c>
      <c r="P45" s="46" t="str">
        <f aca="false">IF(OR(H45="",D45="",D45=0),"",H45/D45)</f>
        <v/>
      </c>
      <c r="Q45" s="46" t="str">
        <f aca="false">IF(H45="","",IF(I45&lt;&gt;"",I45,IF(D45="","",D45*$E$3)))</f>
        <v/>
      </c>
      <c r="R45" s="46" t="str">
        <f aca="false">IF(H45="","",H45*$E$4)</f>
        <v/>
      </c>
      <c r="S45" s="46" t="str">
        <f aca="false">IF(OR(F45="",H45="",Q45=""),"",H45-F45-Q45-R45)</f>
        <v/>
      </c>
      <c r="T45" s="24" t="str">
        <f aca="false">IF(OR(S45="",H45="",H45=0),"",S45/H45)</f>
        <v/>
      </c>
    </row>
    <row r="46" customFormat="false" ht="15" hidden="false" customHeight="false" outlineLevel="0" collapsed="false">
      <c r="A46" s="30"/>
      <c r="B46" s="30"/>
      <c r="C46" s="30"/>
      <c r="D46" s="27"/>
      <c r="E46" s="43"/>
      <c r="F46" s="41"/>
      <c r="G46" s="43"/>
      <c r="H46" s="41"/>
      <c r="I46" s="41"/>
      <c r="J46" s="30"/>
      <c r="K46" s="30"/>
      <c r="L46" s="30"/>
      <c r="M46" s="39" t="str">
        <f aca="false">IF(OR(E46="",G46=""),"",(G46-E46)/30.44)</f>
        <v/>
      </c>
      <c r="N46" s="46" t="str">
        <f aca="false">IF(OR(F46="",H46=""),"",H46-F46)</f>
        <v/>
      </c>
      <c r="O46" s="46" t="str">
        <f aca="false">IF(OR(F46="",D46="",D46=0),"",F46/D46)</f>
        <v/>
      </c>
      <c r="P46" s="46" t="str">
        <f aca="false">IF(OR(H46="",D46="",D46=0),"",H46/D46)</f>
        <v/>
      </c>
      <c r="Q46" s="46" t="str">
        <f aca="false">IF(H46="","",IF(I46&lt;&gt;"",I46,IF(D46="","",D46*$E$3)))</f>
        <v/>
      </c>
      <c r="R46" s="46" t="str">
        <f aca="false">IF(H46="","",H46*$E$4)</f>
        <v/>
      </c>
      <c r="S46" s="46" t="str">
        <f aca="false">IF(OR(F46="",H46="",Q46=""),"",H46-F46-Q46-R46)</f>
        <v/>
      </c>
      <c r="T46" s="24" t="str">
        <f aca="false">IF(OR(S46="",H46="",H46=0),"",S46/H46)</f>
        <v/>
      </c>
    </row>
    <row r="47" customFormat="false" ht="15" hidden="false" customHeight="false" outlineLevel="0" collapsed="false">
      <c r="A47" s="30"/>
      <c r="B47" s="30"/>
      <c r="C47" s="30"/>
      <c r="D47" s="27"/>
      <c r="E47" s="43"/>
      <c r="F47" s="41"/>
      <c r="G47" s="43"/>
      <c r="H47" s="41"/>
      <c r="I47" s="41"/>
      <c r="J47" s="30"/>
      <c r="K47" s="30"/>
      <c r="L47" s="30"/>
      <c r="M47" s="39" t="str">
        <f aca="false">IF(OR(E47="",G47=""),"",(G47-E47)/30.44)</f>
        <v/>
      </c>
      <c r="N47" s="46" t="str">
        <f aca="false">IF(OR(F47="",H47=""),"",H47-F47)</f>
        <v/>
      </c>
      <c r="O47" s="46" t="str">
        <f aca="false">IF(OR(F47="",D47="",D47=0),"",F47/D47)</f>
        <v/>
      </c>
      <c r="P47" s="46" t="str">
        <f aca="false">IF(OR(H47="",D47="",D47=0),"",H47/D47)</f>
        <v/>
      </c>
      <c r="Q47" s="46" t="str">
        <f aca="false">IF(H47="","",IF(I47&lt;&gt;"",I47,IF(D47="","",D47*$E$3)))</f>
        <v/>
      </c>
      <c r="R47" s="46" t="str">
        <f aca="false">IF(H47="","",H47*$E$4)</f>
        <v/>
      </c>
      <c r="S47" s="46" t="str">
        <f aca="false">IF(OR(F47="",H47="",Q47=""),"",H47-F47-Q47-R47)</f>
        <v/>
      </c>
      <c r="T47" s="24" t="str">
        <f aca="false">IF(OR(S47="",H47="",H47=0),"",S47/H47)</f>
        <v/>
      </c>
    </row>
    <row r="48" customFormat="false" ht="15" hidden="false" customHeight="false" outlineLevel="0" collapsed="false">
      <c r="A48" s="30"/>
      <c r="B48" s="30"/>
      <c r="C48" s="30"/>
      <c r="D48" s="27"/>
      <c r="E48" s="43"/>
      <c r="F48" s="41"/>
      <c r="G48" s="43"/>
      <c r="H48" s="41"/>
      <c r="I48" s="41"/>
      <c r="J48" s="30"/>
      <c r="K48" s="30"/>
      <c r="L48" s="30"/>
      <c r="M48" s="39" t="str">
        <f aca="false">IF(OR(E48="",G48=""),"",(G48-E48)/30.44)</f>
        <v/>
      </c>
      <c r="N48" s="46" t="str">
        <f aca="false">IF(OR(F48="",H48=""),"",H48-F48)</f>
        <v/>
      </c>
      <c r="O48" s="46" t="str">
        <f aca="false">IF(OR(F48="",D48="",D48=0),"",F48/D48)</f>
        <v/>
      </c>
      <c r="P48" s="46" t="str">
        <f aca="false">IF(OR(H48="",D48="",D48=0),"",H48/D48)</f>
        <v/>
      </c>
      <c r="Q48" s="46" t="str">
        <f aca="false">IF(H48="","",IF(I48&lt;&gt;"",I48,IF(D48="","",D48*$E$3)))</f>
        <v/>
      </c>
      <c r="R48" s="46" t="str">
        <f aca="false">IF(H48="","",H48*$E$4)</f>
        <v/>
      </c>
      <c r="S48" s="46" t="str">
        <f aca="false">IF(OR(F48="",H48="",Q48=""),"",H48-F48-Q48-R48)</f>
        <v/>
      </c>
      <c r="T48" s="24" t="str">
        <f aca="false">IF(OR(S48="",H48="",H48=0),"",S48/H48)</f>
        <v/>
      </c>
    </row>
    <row r="49" customFormat="false" ht="15" hidden="false" customHeight="false" outlineLevel="0" collapsed="false">
      <c r="A49" s="30"/>
      <c r="B49" s="30"/>
      <c r="C49" s="30"/>
      <c r="D49" s="27"/>
      <c r="E49" s="43"/>
      <c r="F49" s="41"/>
      <c r="G49" s="43"/>
      <c r="H49" s="41"/>
      <c r="I49" s="41"/>
      <c r="J49" s="30"/>
      <c r="K49" s="30"/>
      <c r="L49" s="30"/>
      <c r="M49" s="39" t="str">
        <f aca="false">IF(OR(E49="",G49=""),"",(G49-E49)/30.44)</f>
        <v/>
      </c>
      <c r="N49" s="46" t="str">
        <f aca="false">IF(OR(F49="",H49=""),"",H49-F49)</f>
        <v/>
      </c>
      <c r="O49" s="46" t="str">
        <f aca="false">IF(OR(F49="",D49="",D49=0),"",F49/D49)</f>
        <v/>
      </c>
      <c r="P49" s="46" t="str">
        <f aca="false">IF(OR(H49="",D49="",D49=0),"",H49/D49)</f>
        <v/>
      </c>
      <c r="Q49" s="46" t="str">
        <f aca="false">IF(H49="","",IF(I49&lt;&gt;"",I49,IF(D49="","",D49*$E$3)))</f>
        <v/>
      </c>
      <c r="R49" s="46" t="str">
        <f aca="false">IF(H49="","",H49*$E$4)</f>
        <v/>
      </c>
      <c r="S49" s="46" t="str">
        <f aca="false">IF(OR(F49="",H49="",Q49=""),"",H49-F49-Q49-R49)</f>
        <v/>
      </c>
      <c r="T49" s="24" t="str">
        <f aca="false">IF(OR(S49="",H49="",H49=0),"",S49/H49)</f>
        <v/>
      </c>
    </row>
    <row r="50" customFormat="false" ht="15" hidden="false" customHeight="false" outlineLevel="0" collapsed="false">
      <c r="A50" s="30"/>
      <c r="B50" s="30"/>
      <c r="C50" s="30"/>
      <c r="D50" s="27"/>
      <c r="E50" s="43"/>
      <c r="F50" s="41"/>
      <c r="G50" s="43"/>
      <c r="H50" s="41"/>
      <c r="I50" s="41"/>
      <c r="J50" s="30"/>
      <c r="K50" s="30"/>
      <c r="L50" s="30"/>
      <c r="M50" s="39" t="str">
        <f aca="false">IF(OR(E50="",G50=""),"",(G50-E50)/30.44)</f>
        <v/>
      </c>
      <c r="N50" s="46" t="str">
        <f aca="false">IF(OR(F50="",H50=""),"",H50-F50)</f>
        <v/>
      </c>
      <c r="O50" s="46" t="str">
        <f aca="false">IF(OR(F50="",D50="",D50=0),"",F50/D50)</f>
        <v/>
      </c>
      <c r="P50" s="46" t="str">
        <f aca="false">IF(OR(H50="",D50="",D50=0),"",H50/D50)</f>
        <v/>
      </c>
      <c r="Q50" s="46" t="str">
        <f aca="false">IF(H50="","",IF(I50&lt;&gt;"",I50,IF(D50="","",D50*$E$3)))</f>
        <v/>
      </c>
      <c r="R50" s="46" t="str">
        <f aca="false">IF(H50="","",H50*$E$4)</f>
        <v/>
      </c>
      <c r="S50" s="46" t="str">
        <f aca="false">IF(OR(F50="",H50="",Q50=""),"",H50-F50-Q50-R50)</f>
        <v/>
      </c>
      <c r="T50" s="24" t="str">
        <f aca="false">IF(OR(S50="",H50="",H50=0),"",S50/H50)</f>
        <v/>
      </c>
    </row>
    <row r="51" customFormat="false" ht="15" hidden="false" customHeight="false" outlineLevel="0" collapsed="false">
      <c r="A51" s="30"/>
      <c r="B51" s="30"/>
      <c r="C51" s="30"/>
      <c r="D51" s="27"/>
      <c r="E51" s="43"/>
      <c r="F51" s="41"/>
      <c r="G51" s="43"/>
      <c r="H51" s="41"/>
      <c r="I51" s="41"/>
      <c r="J51" s="30"/>
      <c r="K51" s="30"/>
      <c r="L51" s="30"/>
      <c r="M51" s="39" t="str">
        <f aca="false">IF(OR(E51="",G51=""),"",(G51-E51)/30.44)</f>
        <v/>
      </c>
      <c r="N51" s="46" t="str">
        <f aca="false">IF(OR(F51="",H51=""),"",H51-F51)</f>
        <v/>
      </c>
      <c r="O51" s="46" t="str">
        <f aca="false">IF(OR(F51="",D51="",D51=0),"",F51/D51)</f>
        <v/>
      </c>
      <c r="P51" s="46" t="str">
        <f aca="false">IF(OR(H51="",D51="",D51=0),"",H51/D51)</f>
        <v/>
      </c>
      <c r="Q51" s="46" t="str">
        <f aca="false">IF(H51="","",IF(I51&lt;&gt;"",I51,IF(D51="","",D51*$E$3)))</f>
        <v/>
      </c>
      <c r="R51" s="46" t="str">
        <f aca="false">IF(H51="","",H51*$E$4)</f>
        <v/>
      </c>
      <c r="S51" s="46" t="str">
        <f aca="false">IF(OR(F51="",H51="",Q51=""),"",H51-F51-Q51-R51)</f>
        <v/>
      </c>
      <c r="T51" s="24" t="str">
        <f aca="false">IF(OR(S51="",H51="",H51=0),"",S51/H51)</f>
        <v/>
      </c>
    </row>
    <row r="52" customFormat="false" ht="15" hidden="false" customHeight="false" outlineLevel="0" collapsed="false">
      <c r="A52" s="30"/>
      <c r="B52" s="30"/>
      <c r="C52" s="30"/>
      <c r="D52" s="27"/>
      <c r="E52" s="43"/>
      <c r="F52" s="41"/>
      <c r="G52" s="43"/>
      <c r="H52" s="41"/>
      <c r="I52" s="41"/>
      <c r="J52" s="30"/>
      <c r="K52" s="30"/>
      <c r="L52" s="30"/>
      <c r="M52" s="39" t="str">
        <f aca="false">IF(OR(E52="",G52=""),"",(G52-E52)/30.44)</f>
        <v/>
      </c>
      <c r="N52" s="46" t="str">
        <f aca="false">IF(OR(F52="",H52=""),"",H52-F52)</f>
        <v/>
      </c>
      <c r="O52" s="46" t="str">
        <f aca="false">IF(OR(F52="",D52="",D52=0),"",F52/D52)</f>
        <v/>
      </c>
      <c r="P52" s="46" t="str">
        <f aca="false">IF(OR(H52="",D52="",D52=0),"",H52/D52)</f>
        <v/>
      </c>
      <c r="Q52" s="46" t="str">
        <f aca="false">IF(H52="","",IF(I52&lt;&gt;"",I52,IF(D52="","",D52*$E$3)))</f>
        <v/>
      </c>
      <c r="R52" s="46" t="str">
        <f aca="false">IF(H52="","",H52*$E$4)</f>
        <v/>
      </c>
      <c r="S52" s="46" t="str">
        <f aca="false">IF(OR(F52="",H52="",Q52=""),"",H52-F52-Q52-R52)</f>
        <v/>
      </c>
      <c r="T52" s="24" t="str">
        <f aca="false">IF(OR(S52="",H52="",H52=0),"",S52/H52)</f>
        <v/>
      </c>
    </row>
    <row r="53" customFormat="false" ht="15" hidden="false" customHeight="false" outlineLevel="0" collapsed="false">
      <c r="A53" s="30"/>
      <c r="B53" s="30"/>
      <c r="C53" s="30"/>
      <c r="D53" s="27"/>
      <c r="E53" s="43"/>
      <c r="F53" s="41"/>
      <c r="G53" s="43"/>
      <c r="H53" s="41"/>
      <c r="I53" s="41"/>
      <c r="J53" s="30"/>
      <c r="K53" s="30"/>
      <c r="L53" s="30"/>
      <c r="M53" s="39" t="str">
        <f aca="false">IF(OR(E53="",G53=""),"",(G53-E53)/30.44)</f>
        <v/>
      </c>
      <c r="N53" s="46" t="str">
        <f aca="false">IF(OR(F53="",H53=""),"",H53-F53)</f>
        <v/>
      </c>
      <c r="O53" s="46" t="str">
        <f aca="false">IF(OR(F53="",D53="",D53=0),"",F53/D53)</f>
        <v/>
      </c>
      <c r="P53" s="46" t="str">
        <f aca="false">IF(OR(H53="",D53="",D53=0),"",H53/D53)</f>
        <v/>
      </c>
      <c r="Q53" s="46" t="str">
        <f aca="false">IF(H53="","",IF(I53&lt;&gt;"",I53,IF(D53="","",D53*$E$3)))</f>
        <v/>
      </c>
      <c r="R53" s="46" t="str">
        <f aca="false">IF(H53="","",H53*$E$4)</f>
        <v/>
      </c>
      <c r="S53" s="46" t="str">
        <f aca="false">IF(OR(F53="",H53="",Q53=""),"",H53-F53-Q53-R53)</f>
        <v/>
      </c>
      <c r="T53" s="24" t="str">
        <f aca="false">IF(OR(S53="",H53="",H53=0),"",S53/H53)</f>
        <v/>
      </c>
    </row>
    <row r="54" customFormat="false" ht="15" hidden="false" customHeight="false" outlineLevel="0" collapsed="false">
      <c r="A54" s="30"/>
      <c r="B54" s="30"/>
      <c r="C54" s="30"/>
      <c r="D54" s="27"/>
      <c r="E54" s="43"/>
      <c r="F54" s="41"/>
      <c r="G54" s="43"/>
      <c r="H54" s="41"/>
      <c r="I54" s="41"/>
      <c r="J54" s="30"/>
      <c r="K54" s="30"/>
      <c r="L54" s="30"/>
      <c r="M54" s="39" t="str">
        <f aca="false">IF(OR(E54="",G54=""),"",(G54-E54)/30.44)</f>
        <v/>
      </c>
      <c r="N54" s="46" t="str">
        <f aca="false">IF(OR(F54="",H54=""),"",H54-F54)</f>
        <v/>
      </c>
      <c r="O54" s="46" t="str">
        <f aca="false">IF(OR(F54="",D54="",D54=0),"",F54/D54)</f>
        <v/>
      </c>
      <c r="P54" s="46" t="str">
        <f aca="false">IF(OR(H54="",D54="",D54=0),"",H54/D54)</f>
        <v/>
      </c>
      <c r="Q54" s="46" t="str">
        <f aca="false">IF(H54="","",IF(I54&lt;&gt;"",I54,IF(D54="","",D54*$E$3)))</f>
        <v/>
      </c>
      <c r="R54" s="46" t="str">
        <f aca="false">IF(H54="","",H54*$E$4)</f>
        <v/>
      </c>
      <c r="S54" s="46" t="str">
        <f aca="false">IF(OR(F54="",H54="",Q54=""),"",H54-F54-Q54-R54)</f>
        <v/>
      </c>
      <c r="T54" s="24" t="str">
        <f aca="false">IF(OR(S54="",H54="",H54=0),"",S54/H54)</f>
        <v/>
      </c>
    </row>
    <row r="55" customFormat="false" ht="15" hidden="false" customHeight="false" outlineLevel="0" collapsed="false">
      <c r="A55" s="30"/>
      <c r="B55" s="30"/>
      <c r="C55" s="30"/>
      <c r="D55" s="27"/>
      <c r="E55" s="43"/>
      <c r="F55" s="41"/>
      <c r="G55" s="43"/>
      <c r="H55" s="41"/>
      <c r="I55" s="41"/>
      <c r="J55" s="30"/>
      <c r="K55" s="30"/>
      <c r="L55" s="30"/>
      <c r="M55" s="39" t="str">
        <f aca="false">IF(OR(E55="",G55=""),"",(G55-E55)/30.44)</f>
        <v/>
      </c>
      <c r="N55" s="46" t="str">
        <f aca="false">IF(OR(F55="",H55=""),"",H55-F55)</f>
        <v/>
      </c>
      <c r="O55" s="46" t="str">
        <f aca="false">IF(OR(F55="",D55="",D55=0),"",F55/D55)</f>
        <v/>
      </c>
      <c r="P55" s="46" t="str">
        <f aca="false">IF(OR(H55="",D55="",D55=0),"",H55/D55)</f>
        <v/>
      </c>
      <c r="Q55" s="46" t="str">
        <f aca="false">IF(H55="","",IF(I55&lt;&gt;"",I55,IF(D55="","",D55*$E$3)))</f>
        <v/>
      </c>
      <c r="R55" s="46" t="str">
        <f aca="false">IF(H55="","",H55*$E$4)</f>
        <v/>
      </c>
      <c r="S55" s="46" t="str">
        <f aca="false">IF(OR(F55="",H55="",Q55=""),"",H55-F55-Q55-R55)</f>
        <v/>
      </c>
      <c r="T55" s="24" t="str">
        <f aca="false">IF(OR(S55="",H55="",H55=0),"",S55/H55)</f>
        <v/>
      </c>
    </row>
    <row r="56" customFormat="false" ht="15" hidden="false" customHeight="false" outlineLevel="0" collapsed="false">
      <c r="A56" s="30"/>
      <c r="B56" s="30"/>
      <c r="C56" s="30"/>
      <c r="D56" s="27"/>
      <c r="E56" s="43"/>
      <c r="F56" s="41"/>
      <c r="G56" s="43"/>
      <c r="H56" s="41"/>
      <c r="I56" s="41"/>
      <c r="J56" s="30"/>
      <c r="K56" s="30"/>
      <c r="L56" s="30"/>
      <c r="M56" s="39" t="str">
        <f aca="false">IF(OR(E56="",G56=""),"",(G56-E56)/30.44)</f>
        <v/>
      </c>
      <c r="N56" s="46" t="str">
        <f aca="false">IF(OR(F56="",H56=""),"",H56-F56)</f>
        <v/>
      </c>
      <c r="O56" s="46" t="str">
        <f aca="false">IF(OR(F56="",D56="",D56=0),"",F56/D56)</f>
        <v/>
      </c>
      <c r="P56" s="46" t="str">
        <f aca="false">IF(OR(H56="",D56="",D56=0),"",H56/D56)</f>
        <v/>
      </c>
      <c r="Q56" s="46" t="str">
        <f aca="false">IF(H56="","",IF(I56&lt;&gt;"",I56,IF(D56="","",D56*$E$3)))</f>
        <v/>
      </c>
      <c r="R56" s="46" t="str">
        <f aca="false">IF(H56="","",H56*$E$4)</f>
        <v/>
      </c>
      <c r="S56" s="46" t="str">
        <f aca="false">IF(OR(F56="",H56="",Q56=""),"",H56-F56-Q56-R56)</f>
        <v/>
      </c>
      <c r="T56" s="24" t="str">
        <f aca="false">IF(OR(S56="",H56="",H56=0),"",S56/H56)</f>
        <v/>
      </c>
    </row>
    <row r="57" customFormat="false" ht="15" hidden="false" customHeight="false" outlineLevel="0" collapsed="false">
      <c r="A57" s="30"/>
      <c r="B57" s="30"/>
      <c r="C57" s="30"/>
      <c r="D57" s="27"/>
      <c r="E57" s="43"/>
      <c r="F57" s="41"/>
      <c r="G57" s="43"/>
      <c r="H57" s="41"/>
      <c r="I57" s="41"/>
      <c r="J57" s="30"/>
      <c r="K57" s="30"/>
      <c r="L57" s="30"/>
      <c r="M57" s="39" t="str">
        <f aca="false">IF(OR(E57="",G57=""),"",(G57-E57)/30.44)</f>
        <v/>
      </c>
      <c r="N57" s="46" t="str">
        <f aca="false">IF(OR(F57="",H57=""),"",H57-F57)</f>
        <v/>
      </c>
      <c r="O57" s="46" t="str">
        <f aca="false">IF(OR(F57="",D57="",D57=0),"",F57/D57)</f>
        <v/>
      </c>
      <c r="P57" s="46" t="str">
        <f aca="false">IF(OR(H57="",D57="",D57=0),"",H57/D57)</f>
        <v/>
      </c>
      <c r="Q57" s="46" t="str">
        <f aca="false">IF(H57="","",IF(I57&lt;&gt;"",I57,IF(D57="","",D57*$E$3)))</f>
        <v/>
      </c>
      <c r="R57" s="46" t="str">
        <f aca="false">IF(H57="","",H57*$E$4)</f>
        <v/>
      </c>
      <c r="S57" s="46" t="str">
        <f aca="false">IF(OR(F57="",H57="",Q57=""),"",H57-F57-Q57-R57)</f>
        <v/>
      </c>
      <c r="T57" s="24" t="str">
        <f aca="false">IF(OR(S57="",H57="",H57=0),"",S57/H57)</f>
        <v/>
      </c>
    </row>
    <row r="58" customFormat="false" ht="15" hidden="false" customHeight="false" outlineLevel="0" collapsed="false">
      <c r="A58" s="30"/>
      <c r="B58" s="30"/>
      <c r="C58" s="30"/>
      <c r="D58" s="27"/>
      <c r="E58" s="43"/>
      <c r="F58" s="41"/>
      <c r="G58" s="43"/>
      <c r="H58" s="41"/>
      <c r="I58" s="41"/>
      <c r="J58" s="30"/>
      <c r="K58" s="30"/>
      <c r="L58" s="30"/>
      <c r="M58" s="39" t="str">
        <f aca="false">IF(OR(E58="",G58=""),"",(G58-E58)/30.44)</f>
        <v/>
      </c>
      <c r="N58" s="46" t="str">
        <f aca="false">IF(OR(F58="",H58=""),"",H58-F58)</f>
        <v/>
      </c>
      <c r="O58" s="46" t="str">
        <f aca="false">IF(OR(F58="",D58="",D58=0),"",F58/D58)</f>
        <v/>
      </c>
      <c r="P58" s="46" t="str">
        <f aca="false">IF(OR(H58="",D58="",D58=0),"",H58/D58)</f>
        <v/>
      </c>
      <c r="Q58" s="46" t="str">
        <f aca="false">IF(H58="","",IF(I58&lt;&gt;"",I58,IF(D58="","",D58*$E$3)))</f>
        <v/>
      </c>
      <c r="R58" s="46" t="str">
        <f aca="false">IF(H58="","",H58*$E$4)</f>
        <v/>
      </c>
      <c r="S58" s="46" t="str">
        <f aca="false">IF(OR(F58="",H58="",Q58=""),"",H58-F58-Q58-R58)</f>
        <v/>
      </c>
      <c r="T58" s="24" t="str">
        <f aca="false">IF(OR(S58="",H58="",H58=0),"",S58/H58)</f>
        <v/>
      </c>
    </row>
    <row r="59" customFormat="false" ht="15" hidden="false" customHeight="false" outlineLevel="0" collapsed="false">
      <c r="A59" s="30"/>
      <c r="B59" s="30"/>
      <c r="C59" s="30"/>
      <c r="D59" s="27"/>
      <c r="E59" s="43"/>
      <c r="F59" s="41"/>
      <c r="G59" s="43"/>
      <c r="H59" s="41"/>
      <c r="I59" s="41"/>
      <c r="J59" s="30"/>
      <c r="K59" s="30"/>
      <c r="L59" s="30"/>
      <c r="M59" s="39" t="str">
        <f aca="false">IF(OR(E59="",G59=""),"",(G59-E59)/30.44)</f>
        <v/>
      </c>
      <c r="N59" s="46" t="str">
        <f aca="false">IF(OR(F59="",H59=""),"",H59-F59)</f>
        <v/>
      </c>
      <c r="O59" s="46" t="str">
        <f aca="false">IF(OR(F59="",D59="",D59=0),"",F59/D59)</f>
        <v/>
      </c>
      <c r="P59" s="46" t="str">
        <f aca="false">IF(OR(H59="",D59="",D59=0),"",H59/D59)</f>
        <v/>
      </c>
      <c r="Q59" s="46" t="str">
        <f aca="false">IF(H59="","",IF(I59&lt;&gt;"",I59,IF(D59="","",D59*$E$3)))</f>
        <v/>
      </c>
      <c r="R59" s="46" t="str">
        <f aca="false">IF(H59="","",H59*$E$4)</f>
        <v/>
      </c>
      <c r="S59" s="46" t="str">
        <f aca="false">IF(OR(F59="",H59="",Q59=""),"",H59-F59-Q59-R59)</f>
        <v/>
      </c>
      <c r="T59" s="24" t="str">
        <f aca="false">IF(OR(S59="",H59="",H59=0),"",S59/H59)</f>
        <v/>
      </c>
    </row>
    <row r="60" customFormat="false" ht="15" hidden="false" customHeight="false" outlineLevel="0" collapsed="false">
      <c r="A60" s="30"/>
      <c r="B60" s="30"/>
      <c r="C60" s="30"/>
      <c r="D60" s="27"/>
      <c r="E60" s="43"/>
      <c r="F60" s="41"/>
      <c r="G60" s="43"/>
      <c r="H60" s="41"/>
      <c r="I60" s="41"/>
      <c r="J60" s="30"/>
      <c r="K60" s="30"/>
      <c r="L60" s="30"/>
      <c r="M60" s="39" t="str">
        <f aca="false">IF(OR(E60="",G60=""),"",(G60-E60)/30.44)</f>
        <v/>
      </c>
      <c r="N60" s="46" t="str">
        <f aca="false">IF(OR(F60="",H60=""),"",H60-F60)</f>
        <v/>
      </c>
      <c r="O60" s="46" t="str">
        <f aca="false">IF(OR(F60="",D60="",D60=0),"",F60/D60)</f>
        <v/>
      </c>
      <c r="P60" s="46" t="str">
        <f aca="false">IF(OR(H60="",D60="",D60=0),"",H60/D60)</f>
        <v/>
      </c>
      <c r="Q60" s="46" t="str">
        <f aca="false">IF(H60="","",IF(I60&lt;&gt;"",I60,IF(D60="","",D60*$E$3)))</f>
        <v/>
      </c>
      <c r="R60" s="46" t="str">
        <f aca="false">IF(H60="","",H60*$E$4)</f>
        <v/>
      </c>
      <c r="S60" s="46" t="str">
        <f aca="false">IF(OR(F60="",H60="",Q60=""),"",H60-F60-Q60-R60)</f>
        <v/>
      </c>
      <c r="T60" s="24" t="str">
        <f aca="false">IF(OR(S60="",H60="",H60=0),"",S60/H60)</f>
        <v/>
      </c>
    </row>
    <row r="61" customFormat="false" ht="15" hidden="false" customHeight="false" outlineLevel="0" collapsed="false">
      <c r="A61" s="30"/>
      <c r="B61" s="30"/>
      <c r="C61" s="30"/>
      <c r="D61" s="27"/>
      <c r="E61" s="43"/>
      <c r="F61" s="41"/>
      <c r="G61" s="43"/>
      <c r="H61" s="41"/>
      <c r="I61" s="41"/>
      <c r="J61" s="30"/>
      <c r="K61" s="30"/>
      <c r="L61" s="30"/>
      <c r="M61" s="39" t="str">
        <f aca="false">IF(OR(E61="",G61=""),"",(G61-E61)/30.44)</f>
        <v/>
      </c>
      <c r="N61" s="46" t="str">
        <f aca="false">IF(OR(F61="",H61=""),"",H61-F61)</f>
        <v/>
      </c>
      <c r="O61" s="46" t="str">
        <f aca="false">IF(OR(F61="",D61="",D61=0),"",F61/D61)</f>
        <v/>
      </c>
      <c r="P61" s="46" t="str">
        <f aca="false">IF(OR(H61="",D61="",D61=0),"",H61/D61)</f>
        <v/>
      </c>
      <c r="Q61" s="46" t="str">
        <f aca="false">IF(H61="","",IF(I61&lt;&gt;"",I61,IF(D61="","",D61*$E$3)))</f>
        <v/>
      </c>
      <c r="R61" s="46" t="str">
        <f aca="false">IF(H61="","",H61*$E$4)</f>
        <v/>
      </c>
      <c r="S61" s="46" t="str">
        <f aca="false">IF(OR(F61="",H61="",Q61=""),"",H61-F61-Q61-R61)</f>
        <v/>
      </c>
      <c r="T61" s="24" t="str">
        <f aca="false">IF(OR(S61="",H61="",H61=0),"",S61/H61)</f>
        <v/>
      </c>
    </row>
    <row r="62" customFormat="false" ht="15" hidden="false" customHeight="false" outlineLevel="0" collapsed="false">
      <c r="A62" s="30"/>
      <c r="B62" s="30"/>
      <c r="C62" s="30"/>
      <c r="D62" s="27"/>
      <c r="E62" s="43"/>
      <c r="F62" s="41"/>
      <c r="G62" s="43"/>
      <c r="H62" s="41"/>
      <c r="I62" s="41"/>
      <c r="J62" s="30"/>
      <c r="K62" s="30"/>
      <c r="L62" s="30"/>
      <c r="M62" s="39" t="str">
        <f aca="false">IF(OR(E62="",G62=""),"",(G62-E62)/30.44)</f>
        <v/>
      </c>
      <c r="N62" s="46" t="str">
        <f aca="false">IF(OR(F62="",H62=""),"",H62-F62)</f>
        <v/>
      </c>
      <c r="O62" s="46" t="str">
        <f aca="false">IF(OR(F62="",D62="",D62=0),"",F62/D62)</f>
        <v/>
      </c>
      <c r="P62" s="46" t="str">
        <f aca="false">IF(OR(H62="",D62="",D62=0),"",H62/D62)</f>
        <v/>
      </c>
      <c r="Q62" s="46" t="str">
        <f aca="false">IF(H62="","",IF(I62&lt;&gt;"",I62,IF(D62="","",D62*$E$3)))</f>
        <v/>
      </c>
      <c r="R62" s="46" t="str">
        <f aca="false">IF(H62="","",H62*$E$4)</f>
        <v/>
      </c>
      <c r="S62" s="46" t="str">
        <f aca="false">IF(OR(F62="",H62="",Q62=""),"",H62-F62-Q62-R62)</f>
        <v/>
      </c>
      <c r="T62" s="24" t="str">
        <f aca="false">IF(OR(S62="",H62="",H62=0),"",S62/H62)</f>
        <v/>
      </c>
    </row>
    <row r="63" customFormat="false" ht="15" hidden="false" customHeight="false" outlineLevel="0" collapsed="false">
      <c r="A63" s="30"/>
      <c r="B63" s="30"/>
      <c r="C63" s="30"/>
      <c r="D63" s="27"/>
      <c r="E63" s="43"/>
      <c r="F63" s="41"/>
      <c r="G63" s="43"/>
      <c r="H63" s="41"/>
      <c r="I63" s="41"/>
      <c r="J63" s="30"/>
      <c r="K63" s="30"/>
      <c r="L63" s="30"/>
      <c r="M63" s="39" t="str">
        <f aca="false">IF(OR(E63="",G63=""),"",(G63-E63)/30.44)</f>
        <v/>
      </c>
      <c r="N63" s="46" t="str">
        <f aca="false">IF(OR(F63="",H63=""),"",H63-F63)</f>
        <v/>
      </c>
      <c r="O63" s="46" t="str">
        <f aca="false">IF(OR(F63="",D63="",D63=0),"",F63/D63)</f>
        <v/>
      </c>
      <c r="P63" s="46" t="str">
        <f aca="false">IF(OR(H63="",D63="",D63=0),"",H63/D63)</f>
        <v/>
      </c>
      <c r="Q63" s="46" t="str">
        <f aca="false">IF(H63="","",IF(I63&lt;&gt;"",I63,IF(D63="","",D63*$E$3)))</f>
        <v/>
      </c>
      <c r="R63" s="46" t="str">
        <f aca="false">IF(H63="","",H63*$E$4)</f>
        <v/>
      </c>
      <c r="S63" s="46" t="str">
        <f aca="false">IF(OR(F63="",H63="",Q63=""),"",H63-F63-Q63-R63)</f>
        <v/>
      </c>
      <c r="T63" s="24" t="str">
        <f aca="false">IF(OR(S63="",H63="",H63=0),"",S63/H63)</f>
        <v/>
      </c>
    </row>
    <row r="64" customFormat="false" ht="15" hidden="false" customHeight="false" outlineLevel="0" collapsed="false">
      <c r="A64" s="30"/>
      <c r="B64" s="30"/>
      <c r="C64" s="30"/>
      <c r="D64" s="27"/>
      <c r="E64" s="43"/>
      <c r="F64" s="41"/>
      <c r="G64" s="43"/>
      <c r="H64" s="41"/>
      <c r="I64" s="41"/>
      <c r="J64" s="30"/>
      <c r="K64" s="30"/>
      <c r="L64" s="30"/>
      <c r="M64" s="39" t="str">
        <f aca="false">IF(OR(E64="",G64=""),"",(G64-E64)/30.44)</f>
        <v/>
      </c>
      <c r="N64" s="46" t="str">
        <f aca="false">IF(OR(F64="",H64=""),"",H64-F64)</f>
        <v/>
      </c>
      <c r="O64" s="46" t="str">
        <f aca="false">IF(OR(F64="",D64="",D64=0),"",F64/D64)</f>
        <v/>
      </c>
      <c r="P64" s="46" t="str">
        <f aca="false">IF(OR(H64="",D64="",D64=0),"",H64/D64)</f>
        <v/>
      </c>
      <c r="Q64" s="46" t="str">
        <f aca="false">IF(H64="","",IF(I64&lt;&gt;"",I64,IF(D64="","",D64*$E$3)))</f>
        <v/>
      </c>
      <c r="R64" s="46" t="str">
        <f aca="false">IF(H64="","",H64*$E$4)</f>
        <v/>
      </c>
      <c r="S64" s="46" t="str">
        <f aca="false">IF(OR(F64="",H64="",Q64=""),"",H64-F64-Q64-R64)</f>
        <v/>
      </c>
      <c r="T64" s="24" t="str">
        <f aca="false">IF(OR(S64="",H64="",H64=0),"",S64/H64)</f>
        <v/>
      </c>
    </row>
    <row r="65" customFormat="false" ht="15" hidden="false" customHeight="false" outlineLevel="0" collapsed="false">
      <c r="A65" s="30"/>
      <c r="B65" s="30"/>
      <c r="C65" s="30"/>
      <c r="D65" s="27"/>
      <c r="E65" s="43"/>
      <c r="F65" s="41"/>
      <c r="G65" s="43"/>
      <c r="H65" s="41"/>
      <c r="I65" s="41"/>
      <c r="J65" s="30"/>
      <c r="K65" s="30"/>
      <c r="L65" s="30"/>
      <c r="M65" s="39" t="str">
        <f aca="false">IF(OR(E65="",G65=""),"",(G65-E65)/30.44)</f>
        <v/>
      </c>
      <c r="N65" s="46" t="str">
        <f aca="false">IF(OR(F65="",H65=""),"",H65-F65)</f>
        <v/>
      </c>
      <c r="O65" s="46" t="str">
        <f aca="false">IF(OR(F65="",D65="",D65=0),"",F65/D65)</f>
        <v/>
      </c>
      <c r="P65" s="46" t="str">
        <f aca="false">IF(OR(H65="",D65="",D65=0),"",H65/D65)</f>
        <v/>
      </c>
      <c r="Q65" s="46" t="str">
        <f aca="false">IF(H65="","",IF(I65&lt;&gt;"",I65,IF(D65="","",D65*$E$3)))</f>
        <v/>
      </c>
      <c r="R65" s="46" t="str">
        <f aca="false">IF(H65="","",H65*$E$4)</f>
        <v/>
      </c>
      <c r="S65" s="46" t="str">
        <f aca="false">IF(OR(F65="",H65="",Q65=""),"",H65-F65-Q65-R65)</f>
        <v/>
      </c>
      <c r="T65" s="24" t="str">
        <f aca="false">IF(OR(S65="",H65="",H65=0),"",S65/H65)</f>
        <v/>
      </c>
    </row>
    <row r="66" customFormat="false" ht="15" hidden="false" customHeight="false" outlineLevel="0" collapsed="false">
      <c r="A66" s="30"/>
      <c r="B66" s="30"/>
      <c r="C66" s="30"/>
      <c r="D66" s="27"/>
      <c r="E66" s="43"/>
      <c r="F66" s="41"/>
      <c r="G66" s="43"/>
      <c r="H66" s="41"/>
      <c r="I66" s="41"/>
      <c r="J66" s="30"/>
      <c r="K66" s="30"/>
      <c r="L66" s="30"/>
      <c r="M66" s="39" t="str">
        <f aca="false">IF(OR(E66="",G66=""),"",(G66-E66)/30.44)</f>
        <v/>
      </c>
      <c r="N66" s="46" t="str">
        <f aca="false">IF(OR(F66="",H66=""),"",H66-F66)</f>
        <v/>
      </c>
      <c r="O66" s="46" t="str">
        <f aca="false">IF(OR(F66="",D66="",D66=0),"",F66/D66)</f>
        <v/>
      </c>
      <c r="P66" s="46" t="str">
        <f aca="false">IF(OR(H66="",D66="",D66=0),"",H66/D66)</f>
        <v/>
      </c>
      <c r="Q66" s="46" t="str">
        <f aca="false">IF(H66="","",IF(I66&lt;&gt;"",I66,IF(D66="","",D66*$E$3)))</f>
        <v/>
      </c>
      <c r="R66" s="46" t="str">
        <f aca="false">IF(H66="","",H66*$E$4)</f>
        <v/>
      </c>
      <c r="S66" s="46" t="str">
        <f aca="false">IF(OR(F66="",H66="",Q66=""),"",H66-F66-Q66-R66)</f>
        <v/>
      </c>
      <c r="T66" s="24" t="str">
        <f aca="false">IF(OR(S66="",H66="",H66=0),"",S66/H66)</f>
        <v/>
      </c>
    </row>
    <row r="67" customFormat="false" ht="15" hidden="false" customHeight="false" outlineLevel="0" collapsed="false">
      <c r="A67" s="30"/>
      <c r="B67" s="30"/>
      <c r="C67" s="30"/>
      <c r="D67" s="27"/>
      <c r="E67" s="43"/>
      <c r="F67" s="41"/>
      <c r="G67" s="43"/>
      <c r="H67" s="41"/>
      <c r="I67" s="41"/>
      <c r="J67" s="30"/>
      <c r="K67" s="30"/>
      <c r="L67" s="30"/>
      <c r="M67" s="39" t="str">
        <f aca="false">IF(OR(E67="",G67=""),"",(G67-E67)/30.44)</f>
        <v/>
      </c>
      <c r="N67" s="46" t="str">
        <f aca="false">IF(OR(F67="",H67=""),"",H67-F67)</f>
        <v/>
      </c>
      <c r="O67" s="46" t="str">
        <f aca="false">IF(OR(F67="",D67="",D67=0),"",F67/D67)</f>
        <v/>
      </c>
      <c r="P67" s="46" t="str">
        <f aca="false">IF(OR(H67="",D67="",D67=0),"",H67/D67)</f>
        <v/>
      </c>
      <c r="Q67" s="46" t="str">
        <f aca="false">IF(H67="","",IF(I67&lt;&gt;"",I67,IF(D67="","",D67*$E$3)))</f>
        <v/>
      </c>
      <c r="R67" s="46" t="str">
        <f aca="false">IF(H67="","",H67*$E$4)</f>
        <v/>
      </c>
      <c r="S67" s="46" t="str">
        <f aca="false">IF(OR(F67="",H67="",Q67=""),"",H67-F67-Q67-R67)</f>
        <v/>
      </c>
      <c r="T67" s="24" t="str">
        <f aca="false">IF(OR(S67="",H67="",H67=0),"",S67/H67)</f>
        <v/>
      </c>
    </row>
    <row r="68" customFormat="false" ht="15" hidden="false" customHeight="false" outlineLevel="0" collapsed="false">
      <c r="A68" s="30"/>
      <c r="B68" s="30"/>
      <c r="C68" s="30"/>
      <c r="D68" s="27"/>
      <c r="E68" s="43"/>
      <c r="F68" s="41"/>
      <c r="G68" s="43"/>
      <c r="H68" s="41"/>
      <c r="I68" s="41"/>
      <c r="J68" s="30"/>
      <c r="K68" s="30"/>
      <c r="L68" s="30"/>
      <c r="M68" s="39" t="str">
        <f aca="false">IF(OR(E68="",G68=""),"",(G68-E68)/30.44)</f>
        <v/>
      </c>
      <c r="N68" s="46" t="str">
        <f aca="false">IF(OR(F68="",H68=""),"",H68-F68)</f>
        <v/>
      </c>
      <c r="O68" s="46" t="str">
        <f aca="false">IF(OR(F68="",D68="",D68=0),"",F68/D68)</f>
        <v/>
      </c>
      <c r="P68" s="46" t="str">
        <f aca="false">IF(OR(H68="",D68="",D68=0),"",H68/D68)</f>
        <v/>
      </c>
      <c r="Q68" s="46" t="str">
        <f aca="false">IF(H68="","",IF(I68&lt;&gt;"",I68,IF(D68="","",D68*$E$3)))</f>
        <v/>
      </c>
      <c r="R68" s="46" t="str">
        <f aca="false">IF(H68="","",H68*$E$4)</f>
        <v/>
      </c>
      <c r="S68" s="46" t="str">
        <f aca="false">IF(OR(F68="",H68="",Q68=""),"",H68-F68-Q68-R68)</f>
        <v/>
      </c>
      <c r="T68" s="24" t="str">
        <f aca="false">IF(OR(S68="",H68="",H68=0),"",S68/H68)</f>
        <v/>
      </c>
    </row>
    <row r="69" customFormat="false" ht="15" hidden="false" customHeight="false" outlineLevel="0" collapsed="false">
      <c r="A69" s="30"/>
      <c r="B69" s="30"/>
      <c r="C69" s="30"/>
      <c r="D69" s="27"/>
      <c r="E69" s="43"/>
      <c r="F69" s="41"/>
      <c r="G69" s="43"/>
      <c r="H69" s="41"/>
      <c r="I69" s="41"/>
      <c r="J69" s="30"/>
      <c r="K69" s="30"/>
      <c r="L69" s="30"/>
      <c r="M69" s="39" t="str">
        <f aca="false">IF(OR(E69="",G69=""),"",(G69-E69)/30.44)</f>
        <v/>
      </c>
      <c r="N69" s="46" t="str">
        <f aca="false">IF(OR(F69="",H69=""),"",H69-F69)</f>
        <v/>
      </c>
      <c r="O69" s="46" t="str">
        <f aca="false">IF(OR(F69="",D69="",D69=0),"",F69/D69)</f>
        <v/>
      </c>
      <c r="P69" s="46" t="str">
        <f aca="false">IF(OR(H69="",D69="",D69=0),"",H69/D69)</f>
        <v/>
      </c>
      <c r="Q69" s="46" t="str">
        <f aca="false">IF(H69="","",IF(I69&lt;&gt;"",I69,IF(D69="","",D69*$E$3)))</f>
        <v/>
      </c>
      <c r="R69" s="46" t="str">
        <f aca="false">IF(H69="","",H69*$E$4)</f>
        <v/>
      </c>
      <c r="S69" s="46" t="str">
        <f aca="false">IF(OR(F69="",H69="",Q69=""),"",H69-F69-Q69-R69)</f>
        <v/>
      </c>
      <c r="T69" s="24" t="str">
        <f aca="false">IF(OR(S69="",H69="",H69=0),"",S69/H69)</f>
        <v/>
      </c>
    </row>
    <row r="70" customFormat="false" ht="15" hidden="false" customHeight="false" outlineLevel="0" collapsed="false">
      <c r="A70" s="30"/>
      <c r="B70" s="30"/>
      <c r="C70" s="30"/>
      <c r="D70" s="27"/>
      <c r="E70" s="43"/>
      <c r="F70" s="41"/>
      <c r="G70" s="43"/>
      <c r="H70" s="41"/>
      <c r="I70" s="41"/>
      <c r="J70" s="30"/>
      <c r="K70" s="30"/>
      <c r="L70" s="30"/>
      <c r="M70" s="39" t="str">
        <f aca="false">IF(OR(E70="",G70=""),"",(G70-E70)/30.44)</f>
        <v/>
      </c>
      <c r="N70" s="46" t="str">
        <f aca="false">IF(OR(F70="",H70=""),"",H70-F70)</f>
        <v/>
      </c>
      <c r="O70" s="46" t="str">
        <f aca="false">IF(OR(F70="",D70="",D70=0),"",F70/D70)</f>
        <v/>
      </c>
      <c r="P70" s="46" t="str">
        <f aca="false">IF(OR(H70="",D70="",D70=0),"",H70/D70)</f>
        <v/>
      </c>
      <c r="Q70" s="46" t="str">
        <f aca="false">IF(H70="","",IF(I70&lt;&gt;"",I70,IF(D70="","",D70*$E$3)))</f>
        <v/>
      </c>
      <c r="R70" s="46" t="str">
        <f aca="false">IF(H70="","",H70*$E$4)</f>
        <v/>
      </c>
      <c r="S70" s="46" t="str">
        <f aca="false">IF(OR(F70="",H70="",Q70=""),"",H70-F70-Q70-R70)</f>
        <v/>
      </c>
      <c r="T70" s="24" t="str">
        <f aca="false">IF(OR(S70="",H70="",H70=0),"",S70/H70)</f>
        <v/>
      </c>
    </row>
    <row r="71" customFormat="false" ht="15" hidden="false" customHeight="false" outlineLevel="0" collapsed="false">
      <c r="A71" s="30"/>
      <c r="B71" s="30"/>
      <c r="C71" s="30"/>
      <c r="D71" s="27"/>
      <c r="E71" s="43"/>
      <c r="F71" s="41"/>
      <c r="G71" s="43"/>
      <c r="H71" s="41"/>
      <c r="I71" s="41"/>
      <c r="J71" s="30"/>
      <c r="K71" s="30"/>
      <c r="L71" s="30"/>
      <c r="M71" s="39" t="str">
        <f aca="false">IF(OR(E71="",G71=""),"",(G71-E71)/30.44)</f>
        <v/>
      </c>
      <c r="N71" s="46" t="str">
        <f aca="false">IF(OR(F71="",H71=""),"",H71-F71)</f>
        <v/>
      </c>
      <c r="O71" s="46" t="str">
        <f aca="false">IF(OR(F71="",D71="",D71=0),"",F71/D71)</f>
        <v/>
      </c>
      <c r="P71" s="46" t="str">
        <f aca="false">IF(OR(H71="",D71="",D71=0),"",H71/D71)</f>
        <v/>
      </c>
      <c r="Q71" s="46" t="str">
        <f aca="false">IF(H71="","",IF(I71&lt;&gt;"",I71,IF(D71="","",D71*$E$3)))</f>
        <v/>
      </c>
      <c r="R71" s="46" t="str">
        <f aca="false">IF(H71="","",H71*$E$4)</f>
        <v/>
      </c>
      <c r="S71" s="46" t="str">
        <f aca="false">IF(OR(F71="",H71="",Q71=""),"",H71-F71-Q71-R71)</f>
        <v/>
      </c>
      <c r="T71" s="24" t="str">
        <f aca="false">IF(OR(S71="",H71="",H71=0),"",S71/H71)</f>
        <v/>
      </c>
    </row>
    <row r="72" customFormat="false" ht="15" hidden="false" customHeight="false" outlineLevel="0" collapsed="false">
      <c r="A72" s="30"/>
      <c r="B72" s="30"/>
      <c r="C72" s="30"/>
      <c r="D72" s="27"/>
      <c r="E72" s="43"/>
      <c r="F72" s="41"/>
      <c r="G72" s="43"/>
      <c r="H72" s="41"/>
      <c r="I72" s="41"/>
      <c r="J72" s="30"/>
      <c r="K72" s="30"/>
      <c r="L72" s="30"/>
      <c r="M72" s="39" t="str">
        <f aca="false">IF(OR(E72="",G72=""),"",(G72-E72)/30.44)</f>
        <v/>
      </c>
      <c r="N72" s="46" t="str">
        <f aca="false">IF(OR(F72="",H72=""),"",H72-F72)</f>
        <v/>
      </c>
      <c r="O72" s="46" t="str">
        <f aca="false">IF(OR(F72="",D72="",D72=0),"",F72/D72)</f>
        <v/>
      </c>
      <c r="P72" s="46" t="str">
        <f aca="false">IF(OR(H72="",D72="",D72=0),"",H72/D72)</f>
        <v/>
      </c>
      <c r="Q72" s="46" t="str">
        <f aca="false">IF(H72="","",IF(I72&lt;&gt;"",I72,IF(D72="","",D72*$E$3)))</f>
        <v/>
      </c>
      <c r="R72" s="46" t="str">
        <f aca="false">IF(H72="","",H72*$E$4)</f>
        <v/>
      </c>
      <c r="S72" s="46" t="str">
        <f aca="false">IF(OR(F72="",H72="",Q72=""),"",H72-F72-Q72-R72)</f>
        <v/>
      </c>
      <c r="T72" s="24" t="str">
        <f aca="false">IF(OR(S72="",H72="",H72=0),"",S72/H72)</f>
        <v/>
      </c>
    </row>
    <row r="73" customFormat="false" ht="15" hidden="false" customHeight="false" outlineLevel="0" collapsed="false">
      <c r="A73" s="30"/>
      <c r="B73" s="30"/>
      <c r="C73" s="30"/>
      <c r="D73" s="27"/>
      <c r="E73" s="43"/>
      <c r="F73" s="41"/>
      <c r="G73" s="43"/>
      <c r="H73" s="41"/>
      <c r="I73" s="41"/>
      <c r="J73" s="30"/>
      <c r="K73" s="30"/>
      <c r="L73" s="30"/>
      <c r="M73" s="39" t="str">
        <f aca="false">IF(OR(E73="",G73=""),"",(G73-E73)/30.44)</f>
        <v/>
      </c>
      <c r="N73" s="46" t="str">
        <f aca="false">IF(OR(F73="",H73=""),"",H73-F73)</f>
        <v/>
      </c>
      <c r="O73" s="46" t="str">
        <f aca="false">IF(OR(F73="",D73="",D73=0),"",F73/D73)</f>
        <v/>
      </c>
      <c r="P73" s="46" t="str">
        <f aca="false">IF(OR(H73="",D73="",D73=0),"",H73/D73)</f>
        <v/>
      </c>
      <c r="Q73" s="46" t="str">
        <f aca="false">IF(H73="","",IF(I73&lt;&gt;"",I73,IF(D73="","",D73*$E$3)))</f>
        <v/>
      </c>
      <c r="R73" s="46" t="str">
        <f aca="false">IF(H73="","",H73*$E$4)</f>
        <v/>
      </c>
      <c r="S73" s="46" t="str">
        <f aca="false">IF(OR(F73="",H73="",Q73=""),"",H73-F73-Q73-R73)</f>
        <v/>
      </c>
      <c r="T73" s="24" t="str">
        <f aca="false">IF(OR(S73="",H73="",H73=0),"",S73/H73)</f>
        <v/>
      </c>
    </row>
    <row r="74" customFormat="false" ht="15" hidden="false" customHeight="false" outlineLevel="0" collapsed="false">
      <c r="A74" s="30"/>
      <c r="B74" s="30"/>
      <c r="C74" s="30"/>
      <c r="D74" s="27"/>
      <c r="E74" s="43"/>
      <c r="F74" s="41"/>
      <c r="G74" s="43"/>
      <c r="H74" s="41"/>
      <c r="I74" s="41"/>
      <c r="J74" s="30"/>
      <c r="K74" s="30"/>
      <c r="L74" s="30"/>
      <c r="M74" s="39" t="str">
        <f aca="false">IF(OR(E74="",G74=""),"",(G74-E74)/30.44)</f>
        <v/>
      </c>
      <c r="N74" s="46" t="str">
        <f aca="false">IF(OR(F74="",H74=""),"",H74-F74)</f>
        <v/>
      </c>
      <c r="O74" s="46" t="str">
        <f aca="false">IF(OR(F74="",D74="",D74=0),"",F74/D74)</f>
        <v/>
      </c>
      <c r="P74" s="46" t="str">
        <f aca="false">IF(OR(H74="",D74="",D74=0),"",H74/D74)</f>
        <v/>
      </c>
      <c r="Q74" s="46" t="str">
        <f aca="false">IF(H74="","",IF(I74&lt;&gt;"",I74,IF(D74="","",D74*$E$3)))</f>
        <v/>
      </c>
      <c r="R74" s="46" t="str">
        <f aca="false">IF(H74="","",H74*$E$4)</f>
        <v/>
      </c>
      <c r="S74" s="46" t="str">
        <f aca="false">IF(OR(F74="",H74="",Q74=""),"",H74-F74-Q74-R74)</f>
        <v/>
      </c>
      <c r="T74" s="24" t="str">
        <f aca="false">IF(OR(S74="",H74="",H74=0),"",S74/H74)</f>
        <v/>
      </c>
    </row>
    <row r="75" customFormat="false" ht="15" hidden="false" customHeight="false" outlineLevel="0" collapsed="false">
      <c r="A75" s="30"/>
      <c r="B75" s="30"/>
      <c r="C75" s="30"/>
      <c r="D75" s="27"/>
      <c r="E75" s="43"/>
      <c r="F75" s="41"/>
      <c r="G75" s="43"/>
      <c r="H75" s="41"/>
      <c r="I75" s="41"/>
      <c r="J75" s="30"/>
      <c r="K75" s="30"/>
      <c r="L75" s="30"/>
      <c r="M75" s="39" t="str">
        <f aca="false">IF(OR(E75="",G75=""),"",(G75-E75)/30.44)</f>
        <v/>
      </c>
      <c r="N75" s="46" t="str">
        <f aca="false">IF(OR(F75="",H75=""),"",H75-F75)</f>
        <v/>
      </c>
      <c r="O75" s="46" t="str">
        <f aca="false">IF(OR(F75="",D75="",D75=0),"",F75/D75)</f>
        <v/>
      </c>
      <c r="P75" s="46" t="str">
        <f aca="false">IF(OR(H75="",D75="",D75=0),"",H75/D75)</f>
        <v/>
      </c>
      <c r="Q75" s="46" t="str">
        <f aca="false">IF(H75="","",IF(I75&lt;&gt;"",I75,IF(D75="","",D75*$E$3)))</f>
        <v/>
      </c>
      <c r="R75" s="46" t="str">
        <f aca="false">IF(H75="","",H75*$E$4)</f>
        <v/>
      </c>
      <c r="S75" s="46" t="str">
        <f aca="false">IF(OR(F75="",H75="",Q75=""),"",H75-F75-Q75-R75)</f>
        <v/>
      </c>
      <c r="T75" s="24" t="str">
        <f aca="false">IF(OR(S75="",H75="",H75=0),"",S75/H75)</f>
        <v/>
      </c>
    </row>
    <row r="76" customFormat="false" ht="15" hidden="false" customHeight="false" outlineLevel="0" collapsed="false">
      <c r="A76" s="30"/>
      <c r="B76" s="30"/>
      <c r="C76" s="30"/>
      <c r="D76" s="27"/>
      <c r="E76" s="43"/>
      <c r="F76" s="41"/>
      <c r="G76" s="43"/>
      <c r="H76" s="41"/>
      <c r="I76" s="41"/>
      <c r="J76" s="30"/>
      <c r="K76" s="30"/>
      <c r="L76" s="30"/>
      <c r="M76" s="39" t="str">
        <f aca="false">IF(OR(E76="",G76=""),"",(G76-E76)/30.44)</f>
        <v/>
      </c>
      <c r="N76" s="46" t="str">
        <f aca="false">IF(OR(F76="",H76=""),"",H76-F76)</f>
        <v/>
      </c>
      <c r="O76" s="46" t="str">
        <f aca="false">IF(OR(F76="",D76="",D76=0),"",F76/D76)</f>
        <v/>
      </c>
      <c r="P76" s="46" t="str">
        <f aca="false">IF(OR(H76="",D76="",D76=0),"",H76/D76)</f>
        <v/>
      </c>
      <c r="Q76" s="46" t="str">
        <f aca="false">IF(H76="","",IF(I76&lt;&gt;"",I76,IF(D76="","",D76*$E$3)))</f>
        <v/>
      </c>
      <c r="R76" s="46" t="str">
        <f aca="false">IF(H76="","",H76*$E$4)</f>
        <v/>
      </c>
      <c r="S76" s="46" t="str">
        <f aca="false">IF(OR(F76="",H76="",Q76=""),"",H76-F76-Q76-R76)</f>
        <v/>
      </c>
      <c r="T76" s="24" t="str">
        <f aca="false">IF(OR(S76="",H76="",H76=0),"",S76/H76)</f>
        <v/>
      </c>
    </row>
    <row r="77" customFormat="false" ht="15" hidden="false" customHeight="false" outlineLevel="0" collapsed="false">
      <c r="A77" s="30"/>
      <c r="B77" s="30"/>
      <c r="C77" s="30"/>
      <c r="D77" s="27"/>
      <c r="E77" s="43"/>
      <c r="F77" s="41"/>
      <c r="G77" s="43"/>
      <c r="H77" s="41"/>
      <c r="I77" s="41"/>
      <c r="J77" s="30"/>
      <c r="K77" s="30"/>
      <c r="L77" s="30"/>
      <c r="M77" s="39" t="str">
        <f aca="false">IF(OR(E77="",G77=""),"",(G77-E77)/30.44)</f>
        <v/>
      </c>
      <c r="N77" s="46" t="str">
        <f aca="false">IF(OR(F77="",H77=""),"",H77-F77)</f>
        <v/>
      </c>
      <c r="O77" s="46" t="str">
        <f aca="false">IF(OR(F77="",D77="",D77=0),"",F77/D77)</f>
        <v/>
      </c>
      <c r="P77" s="46" t="str">
        <f aca="false">IF(OR(H77="",D77="",D77=0),"",H77/D77)</f>
        <v/>
      </c>
      <c r="Q77" s="46" t="str">
        <f aca="false">IF(H77="","",IF(I77&lt;&gt;"",I77,IF(D77="","",D77*$E$3)))</f>
        <v/>
      </c>
      <c r="R77" s="46" t="str">
        <f aca="false">IF(H77="","",H77*$E$4)</f>
        <v/>
      </c>
      <c r="S77" s="46" t="str">
        <f aca="false">IF(OR(F77="",H77="",Q77=""),"",H77-F77-Q77-R77)</f>
        <v/>
      </c>
      <c r="T77" s="24" t="str">
        <f aca="false">IF(OR(S77="",H77="",H77=0),"",S77/H77)</f>
        <v/>
      </c>
    </row>
    <row r="78" customFormat="false" ht="15" hidden="false" customHeight="false" outlineLevel="0" collapsed="false">
      <c r="A78" s="30"/>
      <c r="B78" s="30"/>
      <c r="C78" s="30"/>
      <c r="D78" s="27"/>
      <c r="E78" s="43"/>
      <c r="F78" s="41"/>
      <c r="G78" s="43"/>
      <c r="H78" s="41"/>
      <c r="I78" s="41"/>
      <c r="J78" s="30"/>
      <c r="K78" s="30"/>
      <c r="L78" s="30"/>
      <c r="M78" s="39" t="str">
        <f aca="false">IF(OR(E78="",G78=""),"",(G78-E78)/30.44)</f>
        <v/>
      </c>
      <c r="N78" s="46" t="str">
        <f aca="false">IF(OR(F78="",H78=""),"",H78-F78)</f>
        <v/>
      </c>
      <c r="O78" s="46" t="str">
        <f aca="false">IF(OR(F78="",D78="",D78=0),"",F78/D78)</f>
        <v/>
      </c>
      <c r="P78" s="46" t="str">
        <f aca="false">IF(OR(H78="",D78="",D78=0),"",H78/D78)</f>
        <v/>
      </c>
      <c r="Q78" s="46" t="str">
        <f aca="false">IF(H78="","",IF(I78&lt;&gt;"",I78,IF(D78="","",D78*$E$3)))</f>
        <v/>
      </c>
      <c r="R78" s="46" t="str">
        <f aca="false">IF(H78="","",H78*$E$4)</f>
        <v/>
      </c>
      <c r="S78" s="46" t="str">
        <f aca="false">IF(OR(F78="",H78="",Q78=""),"",H78-F78-Q78-R78)</f>
        <v/>
      </c>
      <c r="T78" s="24" t="str">
        <f aca="false">IF(OR(S78="",H78="",H78=0),"",S78/H78)</f>
        <v/>
      </c>
    </row>
    <row r="79" customFormat="false" ht="15" hidden="false" customHeight="false" outlineLevel="0" collapsed="false">
      <c r="A79" s="30"/>
      <c r="B79" s="30"/>
      <c r="C79" s="30"/>
      <c r="D79" s="27"/>
      <c r="E79" s="43"/>
      <c r="F79" s="41"/>
      <c r="G79" s="43"/>
      <c r="H79" s="41"/>
      <c r="I79" s="41"/>
      <c r="J79" s="30"/>
      <c r="K79" s="30"/>
      <c r="L79" s="30"/>
      <c r="M79" s="39" t="str">
        <f aca="false">IF(OR(E79="",G79=""),"",(G79-E79)/30.44)</f>
        <v/>
      </c>
      <c r="N79" s="46" t="str">
        <f aca="false">IF(OR(F79="",H79=""),"",H79-F79)</f>
        <v/>
      </c>
      <c r="O79" s="46" t="str">
        <f aca="false">IF(OR(F79="",D79="",D79=0),"",F79/D79)</f>
        <v/>
      </c>
      <c r="P79" s="46" t="str">
        <f aca="false">IF(OR(H79="",D79="",D79=0),"",H79/D79)</f>
        <v/>
      </c>
      <c r="Q79" s="46" t="str">
        <f aca="false">IF(H79="","",IF(I79&lt;&gt;"",I79,IF(D79="","",D79*$E$3)))</f>
        <v/>
      </c>
      <c r="R79" s="46" t="str">
        <f aca="false">IF(H79="","",H79*$E$4)</f>
        <v/>
      </c>
      <c r="S79" s="46" t="str">
        <f aca="false">IF(OR(F79="",H79="",Q79=""),"",H79-F79-Q79-R79)</f>
        <v/>
      </c>
      <c r="T79" s="24" t="str">
        <f aca="false">IF(OR(S79="",H79="",H79=0),"",S79/H79)</f>
        <v/>
      </c>
    </row>
    <row r="80" customFormat="false" ht="15" hidden="false" customHeight="false" outlineLevel="0" collapsed="false">
      <c r="A80" s="30"/>
      <c r="B80" s="30"/>
      <c r="C80" s="30"/>
      <c r="D80" s="27"/>
      <c r="E80" s="43"/>
      <c r="F80" s="41"/>
      <c r="G80" s="43"/>
      <c r="H80" s="41"/>
      <c r="I80" s="41"/>
      <c r="J80" s="30"/>
      <c r="K80" s="30"/>
      <c r="L80" s="30"/>
      <c r="M80" s="39" t="str">
        <f aca="false">IF(OR(E80="",G80=""),"",(G80-E80)/30.44)</f>
        <v/>
      </c>
      <c r="N80" s="46" t="str">
        <f aca="false">IF(OR(F80="",H80=""),"",H80-F80)</f>
        <v/>
      </c>
      <c r="O80" s="46" t="str">
        <f aca="false">IF(OR(F80="",D80="",D80=0),"",F80/D80)</f>
        <v/>
      </c>
      <c r="P80" s="46" t="str">
        <f aca="false">IF(OR(H80="",D80="",D80=0),"",H80/D80)</f>
        <v/>
      </c>
      <c r="Q80" s="46" t="str">
        <f aca="false">IF(H80="","",IF(I80&lt;&gt;"",I80,IF(D80="","",D80*$E$3)))</f>
        <v/>
      </c>
      <c r="R80" s="46" t="str">
        <f aca="false">IF(H80="","",H80*$E$4)</f>
        <v/>
      </c>
      <c r="S80" s="46" t="str">
        <f aca="false">IF(OR(F80="",H80="",Q80=""),"",H80-F80-Q80-R80)</f>
        <v/>
      </c>
      <c r="T80" s="24" t="str">
        <f aca="false">IF(OR(S80="",H80="",H80=0),"",S80/H80)</f>
        <v/>
      </c>
    </row>
    <row r="81" customFormat="false" ht="15" hidden="false" customHeight="false" outlineLevel="0" collapsed="false">
      <c r="A81" s="30"/>
      <c r="B81" s="30"/>
      <c r="C81" s="30"/>
      <c r="D81" s="27"/>
      <c r="E81" s="43"/>
      <c r="F81" s="41"/>
      <c r="G81" s="43"/>
      <c r="H81" s="41"/>
      <c r="I81" s="41"/>
      <c r="J81" s="30"/>
      <c r="K81" s="30"/>
      <c r="L81" s="30"/>
      <c r="M81" s="39" t="str">
        <f aca="false">IF(OR(E81="",G81=""),"",(G81-E81)/30.44)</f>
        <v/>
      </c>
      <c r="N81" s="46" t="str">
        <f aca="false">IF(OR(F81="",H81=""),"",H81-F81)</f>
        <v/>
      </c>
      <c r="O81" s="46" t="str">
        <f aca="false">IF(OR(F81="",D81="",D81=0),"",F81/D81)</f>
        <v/>
      </c>
      <c r="P81" s="46" t="str">
        <f aca="false">IF(OR(H81="",D81="",D81=0),"",H81/D81)</f>
        <v/>
      </c>
      <c r="Q81" s="46" t="str">
        <f aca="false">IF(H81="","",IF(I81&lt;&gt;"",I81,IF(D81="","",D81*$E$3)))</f>
        <v/>
      </c>
      <c r="R81" s="46" t="str">
        <f aca="false">IF(H81="","",H81*$E$4)</f>
        <v/>
      </c>
      <c r="S81" s="46" t="str">
        <f aca="false">IF(OR(F81="",H81="",Q81=""),"",H81-F81-Q81-R81)</f>
        <v/>
      </c>
      <c r="T81" s="24" t="str">
        <f aca="false">IF(OR(S81="",H81="",H81=0),"",S81/H81)</f>
        <v/>
      </c>
    </row>
    <row r="82" customFormat="false" ht="15" hidden="false" customHeight="false" outlineLevel="0" collapsed="false">
      <c r="A82" s="30"/>
      <c r="B82" s="30"/>
      <c r="C82" s="30"/>
      <c r="D82" s="27"/>
      <c r="E82" s="43"/>
      <c r="F82" s="41"/>
      <c r="G82" s="43"/>
      <c r="H82" s="41"/>
      <c r="I82" s="41"/>
      <c r="J82" s="30"/>
      <c r="K82" s="30"/>
      <c r="L82" s="30"/>
      <c r="M82" s="39" t="str">
        <f aca="false">IF(OR(E82="",G82=""),"",(G82-E82)/30.44)</f>
        <v/>
      </c>
      <c r="N82" s="46" t="str">
        <f aca="false">IF(OR(F82="",H82=""),"",H82-F82)</f>
        <v/>
      </c>
      <c r="O82" s="46" t="str">
        <f aca="false">IF(OR(F82="",D82="",D82=0),"",F82/D82)</f>
        <v/>
      </c>
      <c r="P82" s="46" t="str">
        <f aca="false">IF(OR(H82="",D82="",D82=0),"",H82/D82)</f>
        <v/>
      </c>
      <c r="Q82" s="46" t="str">
        <f aca="false">IF(H82="","",IF(I82&lt;&gt;"",I82,IF(D82="","",D82*$E$3)))</f>
        <v/>
      </c>
      <c r="R82" s="46" t="str">
        <f aca="false">IF(H82="","",H82*$E$4)</f>
        <v/>
      </c>
      <c r="S82" s="46" t="str">
        <f aca="false">IF(OR(F82="",H82="",Q82=""),"",H82-F82-Q82-R82)</f>
        <v/>
      </c>
      <c r="T82" s="24" t="str">
        <f aca="false">IF(OR(S82="",H82="",H82=0),"",S82/H82)</f>
        <v/>
      </c>
    </row>
    <row r="83" customFormat="false" ht="15" hidden="false" customHeight="false" outlineLevel="0" collapsed="false">
      <c r="A83" s="30"/>
      <c r="B83" s="30"/>
      <c r="C83" s="30"/>
      <c r="D83" s="27"/>
      <c r="E83" s="43"/>
      <c r="F83" s="41"/>
      <c r="G83" s="43"/>
      <c r="H83" s="41"/>
      <c r="I83" s="41"/>
      <c r="J83" s="30"/>
      <c r="K83" s="30"/>
      <c r="L83" s="30"/>
      <c r="M83" s="39" t="str">
        <f aca="false">IF(OR(E83="",G83=""),"",(G83-E83)/30.44)</f>
        <v/>
      </c>
      <c r="N83" s="46" t="str">
        <f aca="false">IF(OR(F83="",H83=""),"",H83-F83)</f>
        <v/>
      </c>
      <c r="O83" s="46" t="str">
        <f aca="false">IF(OR(F83="",D83="",D83=0),"",F83/D83)</f>
        <v/>
      </c>
      <c r="P83" s="46" t="str">
        <f aca="false">IF(OR(H83="",D83="",D83=0),"",H83/D83)</f>
        <v/>
      </c>
      <c r="Q83" s="46" t="str">
        <f aca="false">IF(H83="","",IF(I83&lt;&gt;"",I83,IF(D83="","",D83*$E$3)))</f>
        <v/>
      </c>
      <c r="R83" s="46" t="str">
        <f aca="false">IF(H83="","",H83*$E$4)</f>
        <v/>
      </c>
      <c r="S83" s="46" t="str">
        <f aca="false">IF(OR(F83="",H83="",Q83=""),"",H83-F83-Q83-R83)</f>
        <v/>
      </c>
      <c r="T83" s="24" t="str">
        <f aca="false">IF(OR(S83="",H83="",H83=0),"",S83/H83)</f>
        <v/>
      </c>
    </row>
    <row r="84" customFormat="false" ht="15" hidden="false" customHeight="false" outlineLevel="0" collapsed="false">
      <c r="A84" s="30"/>
      <c r="B84" s="30"/>
      <c r="C84" s="30"/>
      <c r="D84" s="27"/>
      <c r="E84" s="43"/>
      <c r="F84" s="41"/>
      <c r="G84" s="43"/>
      <c r="H84" s="41"/>
      <c r="I84" s="41"/>
      <c r="J84" s="30"/>
      <c r="K84" s="30"/>
      <c r="L84" s="30"/>
      <c r="M84" s="39" t="str">
        <f aca="false">IF(OR(E84="",G84=""),"",(G84-E84)/30.44)</f>
        <v/>
      </c>
      <c r="N84" s="46" t="str">
        <f aca="false">IF(OR(F84="",H84=""),"",H84-F84)</f>
        <v/>
      </c>
      <c r="O84" s="46" t="str">
        <f aca="false">IF(OR(F84="",D84="",D84=0),"",F84/D84)</f>
        <v/>
      </c>
      <c r="P84" s="46" t="str">
        <f aca="false">IF(OR(H84="",D84="",D84=0),"",H84/D84)</f>
        <v/>
      </c>
      <c r="Q84" s="46" t="str">
        <f aca="false">IF(H84="","",IF(I84&lt;&gt;"",I84,IF(D84="","",D84*$E$3)))</f>
        <v/>
      </c>
      <c r="R84" s="46" t="str">
        <f aca="false">IF(H84="","",H84*$E$4)</f>
        <v/>
      </c>
      <c r="S84" s="46" t="str">
        <f aca="false">IF(OR(F84="",H84="",Q84=""),"",H84-F84-Q84-R84)</f>
        <v/>
      </c>
      <c r="T84" s="24" t="str">
        <f aca="false">IF(OR(S84="",H84="",H84=0),"",S84/H84)</f>
        <v/>
      </c>
    </row>
    <row r="85" customFormat="false" ht="15" hidden="false" customHeight="false" outlineLevel="0" collapsed="false">
      <c r="A85" s="30"/>
      <c r="B85" s="30"/>
      <c r="C85" s="30"/>
      <c r="D85" s="27"/>
      <c r="E85" s="43"/>
      <c r="F85" s="41"/>
      <c r="G85" s="43"/>
      <c r="H85" s="41"/>
      <c r="I85" s="41"/>
      <c r="J85" s="30"/>
      <c r="K85" s="30"/>
      <c r="L85" s="30"/>
      <c r="M85" s="39" t="str">
        <f aca="false">IF(OR(E85="",G85=""),"",(G85-E85)/30.44)</f>
        <v/>
      </c>
      <c r="N85" s="46" t="str">
        <f aca="false">IF(OR(F85="",H85=""),"",H85-F85)</f>
        <v/>
      </c>
      <c r="O85" s="46" t="str">
        <f aca="false">IF(OR(F85="",D85="",D85=0),"",F85/D85)</f>
        <v/>
      </c>
      <c r="P85" s="46" t="str">
        <f aca="false">IF(OR(H85="",D85="",D85=0),"",H85/D85)</f>
        <v/>
      </c>
      <c r="Q85" s="46" t="str">
        <f aca="false">IF(H85="","",IF(I85&lt;&gt;"",I85,IF(D85="","",D85*$E$3)))</f>
        <v/>
      </c>
      <c r="R85" s="46" t="str">
        <f aca="false">IF(H85="","",H85*$E$4)</f>
        <v/>
      </c>
      <c r="S85" s="46" t="str">
        <f aca="false">IF(OR(F85="",H85="",Q85=""),"",H85-F85-Q85-R85)</f>
        <v/>
      </c>
      <c r="T85" s="24" t="str">
        <f aca="false">IF(OR(S85="",H85="",H85=0),"",S85/H85)</f>
        <v/>
      </c>
    </row>
    <row r="86" customFormat="false" ht="15" hidden="false" customHeight="false" outlineLevel="0" collapsed="false">
      <c r="A86" s="30"/>
      <c r="B86" s="30"/>
      <c r="C86" s="30"/>
      <c r="D86" s="27"/>
      <c r="E86" s="43"/>
      <c r="F86" s="41"/>
      <c r="G86" s="43"/>
      <c r="H86" s="41"/>
      <c r="I86" s="41"/>
      <c r="J86" s="30"/>
      <c r="K86" s="30"/>
      <c r="L86" s="30"/>
      <c r="M86" s="39" t="str">
        <f aca="false">IF(OR(E86="",G86=""),"",(G86-E86)/30.44)</f>
        <v/>
      </c>
      <c r="N86" s="46" t="str">
        <f aca="false">IF(OR(F86="",H86=""),"",H86-F86)</f>
        <v/>
      </c>
      <c r="O86" s="46" t="str">
        <f aca="false">IF(OR(F86="",D86="",D86=0),"",F86/D86)</f>
        <v/>
      </c>
      <c r="P86" s="46" t="str">
        <f aca="false">IF(OR(H86="",D86="",D86=0),"",H86/D86)</f>
        <v/>
      </c>
      <c r="Q86" s="46" t="str">
        <f aca="false">IF(H86="","",IF(I86&lt;&gt;"",I86,IF(D86="","",D86*$E$3)))</f>
        <v/>
      </c>
      <c r="R86" s="46" t="str">
        <f aca="false">IF(H86="","",H86*$E$4)</f>
        <v/>
      </c>
      <c r="S86" s="46" t="str">
        <f aca="false">IF(OR(F86="",H86="",Q86=""),"",H86-F86-Q86-R86)</f>
        <v/>
      </c>
      <c r="T86" s="24" t="str">
        <f aca="false">IF(OR(S86="",H86="",H86=0),"",S86/H86)</f>
        <v/>
      </c>
    </row>
    <row r="87" customFormat="false" ht="15" hidden="false" customHeight="false" outlineLevel="0" collapsed="false">
      <c r="A87" s="30"/>
      <c r="B87" s="30"/>
      <c r="C87" s="30"/>
      <c r="D87" s="27"/>
      <c r="E87" s="43"/>
      <c r="F87" s="41"/>
      <c r="G87" s="43"/>
      <c r="H87" s="41"/>
      <c r="I87" s="41"/>
      <c r="J87" s="30"/>
      <c r="K87" s="30"/>
      <c r="L87" s="30"/>
      <c r="M87" s="39" t="str">
        <f aca="false">IF(OR(E87="",G87=""),"",(G87-E87)/30.44)</f>
        <v/>
      </c>
      <c r="N87" s="46" t="str">
        <f aca="false">IF(OR(F87="",H87=""),"",H87-F87)</f>
        <v/>
      </c>
      <c r="O87" s="46" t="str">
        <f aca="false">IF(OR(F87="",D87="",D87=0),"",F87/D87)</f>
        <v/>
      </c>
      <c r="P87" s="46" t="str">
        <f aca="false">IF(OR(H87="",D87="",D87=0),"",H87/D87)</f>
        <v/>
      </c>
      <c r="Q87" s="46" t="str">
        <f aca="false">IF(H87="","",IF(I87&lt;&gt;"",I87,IF(D87="","",D87*$E$3)))</f>
        <v/>
      </c>
      <c r="R87" s="46" t="str">
        <f aca="false">IF(H87="","",H87*$E$4)</f>
        <v/>
      </c>
      <c r="S87" s="46" t="str">
        <f aca="false">IF(OR(F87="",H87="",Q87=""),"",H87-F87-Q87-R87)</f>
        <v/>
      </c>
      <c r="T87" s="24" t="str">
        <f aca="false">IF(OR(S87="",H87="",H87=0),"",S87/H87)</f>
        <v/>
      </c>
    </row>
    <row r="88" customFormat="false" ht="15" hidden="false" customHeight="false" outlineLevel="0" collapsed="false">
      <c r="A88" s="30"/>
      <c r="B88" s="30"/>
      <c r="C88" s="30"/>
      <c r="D88" s="27"/>
      <c r="E88" s="43"/>
      <c r="F88" s="41"/>
      <c r="G88" s="43"/>
      <c r="H88" s="41"/>
      <c r="I88" s="41"/>
      <c r="J88" s="30"/>
      <c r="K88" s="30"/>
      <c r="L88" s="30"/>
      <c r="M88" s="39" t="str">
        <f aca="false">IF(OR(E88="",G88=""),"",(G88-E88)/30.44)</f>
        <v/>
      </c>
      <c r="N88" s="46" t="str">
        <f aca="false">IF(OR(F88="",H88=""),"",H88-F88)</f>
        <v/>
      </c>
      <c r="O88" s="46" t="str">
        <f aca="false">IF(OR(F88="",D88="",D88=0),"",F88/D88)</f>
        <v/>
      </c>
      <c r="P88" s="46" t="str">
        <f aca="false">IF(OR(H88="",D88="",D88=0),"",H88/D88)</f>
        <v/>
      </c>
      <c r="Q88" s="46" t="str">
        <f aca="false">IF(H88="","",IF(I88&lt;&gt;"",I88,IF(D88="","",D88*$E$3)))</f>
        <v/>
      </c>
      <c r="R88" s="46" t="str">
        <f aca="false">IF(H88="","",H88*$E$4)</f>
        <v/>
      </c>
      <c r="S88" s="46" t="str">
        <f aca="false">IF(OR(F88="",H88="",Q88=""),"",H88-F88-Q88-R88)</f>
        <v/>
      </c>
      <c r="T88" s="24" t="str">
        <f aca="false">IF(OR(S88="",H88="",H88=0),"",S88/H88)</f>
        <v/>
      </c>
    </row>
    <row r="89" customFormat="false" ht="15" hidden="false" customHeight="false" outlineLevel="0" collapsed="false">
      <c r="A89" s="30"/>
      <c r="B89" s="30"/>
      <c r="C89" s="30"/>
      <c r="D89" s="27"/>
      <c r="E89" s="43"/>
      <c r="F89" s="41"/>
      <c r="G89" s="43"/>
      <c r="H89" s="41"/>
      <c r="I89" s="41"/>
      <c r="J89" s="30"/>
      <c r="K89" s="30"/>
      <c r="L89" s="30"/>
      <c r="M89" s="39" t="str">
        <f aca="false">IF(OR(E89="",G89=""),"",(G89-E89)/30.44)</f>
        <v/>
      </c>
      <c r="N89" s="46" t="str">
        <f aca="false">IF(OR(F89="",H89=""),"",H89-F89)</f>
        <v/>
      </c>
      <c r="O89" s="46" t="str">
        <f aca="false">IF(OR(F89="",D89="",D89=0),"",F89/D89)</f>
        <v/>
      </c>
      <c r="P89" s="46" t="str">
        <f aca="false">IF(OR(H89="",D89="",D89=0),"",H89/D89)</f>
        <v/>
      </c>
      <c r="Q89" s="46" t="str">
        <f aca="false">IF(H89="","",IF(I89&lt;&gt;"",I89,IF(D89="","",D89*$E$3)))</f>
        <v/>
      </c>
      <c r="R89" s="46" t="str">
        <f aca="false">IF(H89="","",H89*$E$4)</f>
        <v/>
      </c>
      <c r="S89" s="46" t="str">
        <f aca="false">IF(OR(F89="",H89="",Q89=""),"",H89-F89-Q89-R89)</f>
        <v/>
      </c>
      <c r="T89" s="24" t="str">
        <f aca="false">IF(OR(S89="",H89="",H89=0),"",S89/H89)</f>
        <v/>
      </c>
    </row>
    <row r="90" customFormat="false" ht="15" hidden="false" customHeight="false" outlineLevel="0" collapsed="false">
      <c r="A90" s="30"/>
      <c r="B90" s="30"/>
      <c r="C90" s="30"/>
      <c r="D90" s="27"/>
      <c r="E90" s="43"/>
      <c r="F90" s="41"/>
      <c r="G90" s="43"/>
      <c r="H90" s="41"/>
      <c r="I90" s="41"/>
      <c r="J90" s="30"/>
      <c r="K90" s="30"/>
      <c r="L90" s="30"/>
      <c r="M90" s="39" t="str">
        <f aca="false">IF(OR(E90="",G90=""),"",(G90-E90)/30.44)</f>
        <v/>
      </c>
      <c r="N90" s="46" t="str">
        <f aca="false">IF(OR(F90="",H90=""),"",H90-F90)</f>
        <v/>
      </c>
      <c r="O90" s="46" t="str">
        <f aca="false">IF(OR(F90="",D90="",D90=0),"",F90/D90)</f>
        <v/>
      </c>
      <c r="P90" s="46" t="str">
        <f aca="false">IF(OR(H90="",D90="",D90=0),"",H90/D90)</f>
        <v/>
      </c>
      <c r="Q90" s="46" t="str">
        <f aca="false">IF(H90="","",IF(I90&lt;&gt;"",I90,IF(D90="","",D90*$E$3)))</f>
        <v/>
      </c>
      <c r="R90" s="46" t="str">
        <f aca="false">IF(H90="","",H90*$E$4)</f>
        <v/>
      </c>
      <c r="S90" s="46" t="str">
        <f aca="false">IF(OR(F90="",H90="",Q90=""),"",H90-F90-Q90-R90)</f>
        <v/>
      </c>
      <c r="T90" s="24" t="str">
        <f aca="false">IF(OR(S90="",H90="",H90=0),"",S90/H90)</f>
        <v/>
      </c>
    </row>
    <row r="91" customFormat="false" ht="15" hidden="false" customHeight="false" outlineLevel="0" collapsed="false">
      <c r="A91" s="30"/>
      <c r="B91" s="30"/>
      <c r="C91" s="30"/>
      <c r="D91" s="27"/>
      <c r="E91" s="43"/>
      <c r="F91" s="41"/>
      <c r="G91" s="43"/>
      <c r="H91" s="41"/>
      <c r="I91" s="41"/>
      <c r="J91" s="30"/>
      <c r="K91" s="30"/>
      <c r="L91" s="30"/>
      <c r="M91" s="39" t="str">
        <f aca="false">IF(OR(E91="",G91=""),"",(G91-E91)/30.44)</f>
        <v/>
      </c>
      <c r="N91" s="46" t="str">
        <f aca="false">IF(OR(F91="",H91=""),"",H91-F91)</f>
        <v/>
      </c>
      <c r="O91" s="46" t="str">
        <f aca="false">IF(OR(F91="",D91="",D91=0),"",F91/D91)</f>
        <v/>
      </c>
      <c r="P91" s="46" t="str">
        <f aca="false">IF(OR(H91="",D91="",D91=0),"",H91/D91)</f>
        <v/>
      </c>
      <c r="Q91" s="46" t="str">
        <f aca="false">IF(H91="","",IF(I91&lt;&gt;"",I91,IF(D91="","",D91*$E$3)))</f>
        <v/>
      </c>
      <c r="R91" s="46" t="str">
        <f aca="false">IF(H91="","",H91*$E$4)</f>
        <v/>
      </c>
      <c r="S91" s="46" t="str">
        <f aca="false">IF(OR(F91="",H91="",Q91=""),"",H91-F91-Q91-R91)</f>
        <v/>
      </c>
      <c r="T91" s="24" t="str">
        <f aca="false">IF(OR(S91="",H91="",H91=0),"",S91/H91)</f>
        <v/>
      </c>
    </row>
    <row r="92" customFormat="false" ht="15" hidden="false" customHeight="false" outlineLevel="0" collapsed="false">
      <c r="A92" s="30"/>
      <c r="B92" s="30"/>
      <c r="C92" s="30"/>
      <c r="D92" s="27"/>
      <c r="E92" s="43"/>
      <c r="F92" s="41"/>
      <c r="G92" s="43"/>
      <c r="H92" s="41"/>
      <c r="I92" s="41"/>
      <c r="J92" s="30"/>
      <c r="K92" s="30"/>
      <c r="L92" s="30"/>
      <c r="M92" s="39" t="str">
        <f aca="false">IF(OR(E92="",G92=""),"",(G92-E92)/30.44)</f>
        <v/>
      </c>
      <c r="N92" s="46" t="str">
        <f aca="false">IF(OR(F92="",H92=""),"",H92-F92)</f>
        <v/>
      </c>
      <c r="O92" s="46" t="str">
        <f aca="false">IF(OR(F92="",D92="",D92=0),"",F92/D92)</f>
        <v/>
      </c>
      <c r="P92" s="46" t="str">
        <f aca="false">IF(OR(H92="",D92="",D92=0),"",H92/D92)</f>
        <v/>
      </c>
      <c r="Q92" s="46" t="str">
        <f aca="false">IF(H92="","",IF(I92&lt;&gt;"",I92,IF(D92="","",D92*$E$3)))</f>
        <v/>
      </c>
      <c r="R92" s="46" t="str">
        <f aca="false">IF(H92="","",H92*$E$4)</f>
        <v/>
      </c>
      <c r="S92" s="46" t="str">
        <f aca="false">IF(OR(F92="",H92="",Q92=""),"",H92-F92-Q92-R92)</f>
        <v/>
      </c>
      <c r="T92" s="24" t="str">
        <f aca="false">IF(OR(S92="",H92="",H92=0),"",S92/H92)</f>
        <v/>
      </c>
    </row>
    <row r="93" customFormat="false" ht="15" hidden="false" customHeight="false" outlineLevel="0" collapsed="false">
      <c r="A93" s="30"/>
      <c r="B93" s="30"/>
      <c r="C93" s="30"/>
      <c r="D93" s="27"/>
      <c r="E93" s="43"/>
      <c r="F93" s="41"/>
      <c r="G93" s="43"/>
      <c r="H93" s="41"/>
      <c r="I93" s="41"/>
      <c r="J93" s="30"/>
      <c r="K93" s="30"/>
      <c r="L93" s="30"/>
      <c r="M93" s="39" t="str">
        <f aca="false">IF(OR(E93="",G93=""),"",(G93-E93)/30.44)</f>
        <v/>
      </c>
      <c r="N93" s="46" t="str">
        <f aca="false">IF(OR(F93="",H93=""),"",H93-F93)</f>
        <v/>
      </c>
      <c r="O93" s="46" t="str">
        <f aca="false">IF(OR(F93="",D93="",D93=0),"",F93/D93)</f>
        <v/>
      </c>
      <c r="P93" s="46" t="str">
        <f aca="false">IF(OR(H93="",D93="",D93=0),"",H93/D93)</f>
        <v/>
      </c>
      <c r="Q93" s="46" t="str">
        <f aca="false">IF(H93="","",IF(I93&lt;&gt;"",I93,IF(D93="","",D93*$E$3)))</f>
        <v/>
      </c>
      <c r="R93" s="46" t="str">
        <f aca="false">IF(H93="","",H93*$E$4)</f>
        <v/>
      </c>
      <c r="S93" s="46" t="str">
        <f aca="false">IF(OR(F93="",H93="",Q93=""),"",H93-F93-Q93-R93)</f>
        <v/>
      </c>
      <c r="T93" s="24" t="str">
        <f aca="false">IF(OR(S93="",H93="",H93=0),"",S93/H93)</f>
        <v/>
      </c>
    </row>
    <row r="94" customFormat="false" ht="15" hidden="false" customHeight="false" outlineLevel="0" collapsed="false">
      <c r="A94" s="30"/>
      <c r="B94" s="30"/>
      <c r="C94" s="30"/>
      <c r="D94" s="27"/>
      <c r="E94" s="43"/>
      <c r="F94" s="41"/>
      <c r="G94" s="43"/>
      <c r="H94" s="41"/>
      <c r="I94" s="41"/>
      <c r="J94" s="30"/>
      <c r="K94" s="30"/>
      <c r="L94" s="30"/>
      <c r="M94" s="39" t="str">
        <f aca="false">IF(OR(E94="",G94=""),"",(G94-E94)/30.44)</f>
        <v/>
      </c>
      <c r="N94" s="46" t="str">
        <f aca="false">IF(OR(F94="",H94=""),"",H94-F94)</f>
        <v/>
      </c>
      <c r="O94" s="46" t="str">
        <f aca="false">IF(OR(F94="",D94="",D94=0),"",F94/D94)</f>
        <v/>
      </c>
      <c r="P94" s="46" t="str">
        <f aca="false">IF(OR(H94="",D94="",D94=0),"",H94/D94)</f>
        <v/>
      </c>
      <c r="Q94" s="46" t="str">
        <f aca="false">IF(H94="","",IF(I94&lt;&gt;"",I94,IF(D94="","",D94*$E$3)))</f>
        <v/>
      </c>
      <c r="R94" s="46" t="str">
        <f aca="false">IF(H94="","",H94*$E$4)</f>
        <v/>
      </c>
      <c r="S94" s="46" t="str">
        <f aca="false">IF(OR(F94="",H94="",Q94=""),"",H94-F94-Q94-R94)</f>
        <v/>
      </c>
      <c r="T94" s="24" t="str">
        <f aca="false">IF(OR(S94="",H94="",H94=0),"",S94/H94)</f>
        <v/>
      </c>
    </row>
    <row r="95" customFormat="false" ht="15" hidden="false" customHeight="false" outlineLevel="0" collapsed="false">
      <c r="A95" s="30"/>
      <c r="B95" s="30"/>
      <c r="C95" s="30"/>
      <c r="D95" s="27"/>
      <c r="E95" s="43"/>
      <c r="F95" s="41"/>
      <c r="G95" s="43"/>
      <c r="H95" s="41"/>
      <c r="I95" s="41"/>
      <c r="J95" s="30"/>
      <c r="K95" s="30"/>
      <c r="L95" s="30"/>
      <c r="M95" s="39" t="str">
        <f aca="false">IF(OR(E95="",G95=""),"",(G95-E95)/30.44)</f>
        <v/>
      </c>
      <c r="N95" s="46" t="str">
        <f aca="false">IF(OR(F95="",H95=""),"",H95-F95)</f>
        <v/>
      </c>
      <c r="O95" s="46" t="str">
        <f aca="false">IF(OR(F95="",D95="",D95=0),"",F95/D95)</f>
        <v/>
      </c>
      <c r="P95" s="46" t="str">
        <f aca="false">IF(OR(H95="",D95="",D95=0),"",H95/D95)</f>
        <v/>
      </c>
      <c r="Q95" s="46" t="str">
        <f aca="false">IF(H95="","",IF(I95&lt;&gt;"",I95,IF(D95="","",D95*$E$3)))</f>
        <v/>
      </c>
      <c r="R95" s="46" t="str">
        <f aca="false">IF(H95="","",H95*$E$4)</f>
        <v/>
      </c>
      <c r="S95" s="46" t="str">
        <f aca="false">IF(OR(F95="",H95="",Q95=""),"",H95-F95-Q95-R95)</f>
        <v/>
      </c>
      <c r="T95" s="24" t="str">
        <f aca="false">IF(OR(S95="",H95="",H95=0),"",S95/H95)</f>
        <v/>
      </c>
    </row>
    <row r="96" customFormat="false" ht="15" hidden="false" customHeight="false" outlineLevel="0" collapsed="false">
      <c r="A96" s="30"/>
      <c r="B96" s="30"/>
      <c r="C96" s="30"/>
      <c r="D96" s="27"/>
      <c r="E96" s="43"/>
      <c r="F96" s="41"/>
      <c r="G96" s="43"/>
      <c r="H96" s="41"/>
      <c r="I96" s="41"/>
      <c r="J96" s="30"/>
      <c r="K96" s="30"/>
      <c r="L96" s="30"/>
      <c r="M96" s="39" t="str">
        <f aca="false">IF(OR(E96="",G96=""),"",(G96-E96)/30.44)</f>
        <v/>
      </c>
      <c r="N96" s="46" t="str">
        <f aca="false">IF(OR(F96="",H96=""),"",H96-F96)</f>
        <v/>
      </c>
      <c r="O96" s="46" t="str">
        <f aca="false">IF(OR(F96="",D96="",D96=0),"",F96/D96)</f>
        <v/>
      </c>
      <c r="P96" s="46" t="str">
        <f aca="false">IF(OR(H96="",D96="",D96=0),"",H96/D96)</f>
        <v/>
      </c>
      <c r="Q96" s="46" t="str">
        <f aca="false">IF(H96="","",IF(I96&lt;&gt;"",I96,IF(D96="","",D96*$E$3)))</f>
        <v/>
      </c>
      <c r="R96" s="46" t="str">
        <f aca="false">IF(H96="","",H96*$E$4)</f>
        <v/>
      </c>
      <c r="S96" s="46" t="str">
        <f aca="false">IF(OR(F96="",H96="",Q96=""),"",H96-F96-Q96-R96)</f>
        <v/>
      </c>
      <c r="T96" s="24" t="str">
        <f aca="false">IF(OR(S96="",H96="",H96=0),"",S96/H96)</f>
        <v/>
      </c>
    </row>
    <row r="97" customFormat="false" ht="15" hidden="false" customHeight="false" outlineLevel="0" collapsed="false">
      <c r="A97" s="30"/>
      <c r="B97" s="30"/>
      <c r="C97" s="30"/>
      <c r="D97" s="27"/>
      <c r="E97" s="43"/>
      <c r="F97" s="41"/>
      <c r="G97" s="43"/>
      <c r="H97" s="41"/>
      <c r="I97" s="41"/>
      <c r="J97" s="30"/>
      <c r="K97" s="30"/>
      <c r="L97" s="30"/>
      <c r="M97" s="39" t="str">
        <f aca="false">IF(OR(E97="",G97=""),"",(G97-E97)/30.44)</f>
        <v/>
      </c>
      <c r="N97" s="46" t="str">
        <f aca="false">IF(OR(F97="",H97=""),"",H97-F97)</f>
        <v/>
      </c>
      <c r="O97" s="46" t="str">
        <f aca="false">IF(OR(F97="",D97="",D97=0),"",F97/D97)</f>
        <v/>
      </c>
      <c r="P97" s="46" t="str">
        <f aca="false">IF(OR(H97="",D97="",D97=0),"",H97/D97)</f>
        <v/>
      </c>
      <c r="Q97" s="46" t="str">
        <f aca="false">IF(H97="","",IF(I97&lt;&gt;"",I97,IF(D97="","",D97*$E$3)))</f>
        <v/>
      </c>
      <c r="R97" s="46" t="str">
        <f aca="false">IF(H97="","",H97*$E$4)</f>
        <v/>
      </c>
      <c r="S97" s="46" t="str">
        <f aca="false">IF(OR(F97="",H97="",Q97=""),"",H97-F97-Q97-R97)</f>
        <v/>
      </c>
      <c r="T97" s="24" t="str">
        <f aca="false">IF(OR(S97="",H97="",H97=0),"",S97/H97)</f>
        <v/>
      </c>
    </row>
    <row r="98" customFormat="false" ht="15" hidden="false" customHeight="false" outlineLevel="0" collapsed="false">
      <c r="A98" s="30"/>
      <c r="B98" s="30"/>
      <c r="C98" s="30"/>
      <c r="D98" s="27"/>
      <c r="E98" s="43"/>
      <c r="F98" s="41"/>
      <c r="G98" s="43"/>
      <c r="H98" s="41"/>
      <c r="I98" s="41"/>
      <c r="J98" s="30"/>
      <c r="K98" s="30"/>
      <c r="L98" s="30"/>
      <c r="M98" s="39" t="str">
        <f aca="false">IF(OR(E98="",G98=""),"",(G98-E98)/30.44)</f>
        <v/>
      </c>
      <c r="N98" s="46" t="str">
        <f aca="false">IF(OR(F98="",H98=""),"",H98-F98)</f>
        <v/>
      </c>
      <c r="O98" s="46" t="str">
        <f aca="false">IF(OR(F98="",D98="",D98=0),"",F98/D98)</f>
        <v/>
      </c>
      <c r="P98" s="46" t="str">
        <f aca="false">IF(OR(H98="",D98="",D98=0),"",H98/D98)</f>
        <v/>
      </c>
      <c r="Q98" s="46" t="str">
        <f aca="false">IF(H98="","",IF(I98&lt;&gt;"",I98,IF(D98="","",D98*$E$3)))</f>
        <v/>
      </c>
      <c r="R98" s="46" t="str">
        <f aca="false">IF(H98="","",H98*$E$4)</f>
        <v/>
      </c>
      <c r="S98" s="46" t="str">
        <f aca="false">IF(OR(F98="",H98="",Q98=""),"",H98-F98-Q98-R98)</f>
        <v/>
      </c>
      <c r="T98" s="24" t="str">
        <f aca="false">IF(OR(S98="",H98="",H98=0),"",S98/H98)</f>
        <v/>
      </c>
    </row>
    <row r="99" customFormat="false" ht="15" hidden="false" customHeight="false" outlineLevel="0" collapsed="false">
      <c r="A99" s="30"/>
      <c r="B99" s="30"/>
      <c r="C99" s="30"/>
      <c r="D99" s="27"/>
      <c r="E99" s="43"/>
      <c r="F99" s="41"/>
      <c r="G99" s="43"/>
      <c r="H99" s="41"/>
      <c r="I99" s="41"/>
      <c r="J99" s="30"/>
      <c r="K99" s="30"/>
      <c r="L99" s="30"/>
      <c r="M99" s="39" t="str">
        <f aca="false">IF(OR(E99="",G99=""),"",(G99-E99)/30.44)</f>
        <v/>
      </c>
      <c r="N99" s="46" t="str">
        <f aca="false">IF(OR(F99="",H99=""),"",H99-F99)</f>
        <v/>
      </c>
      <c r="O99" s="46" t="str">
        <f aca="false">IF(OR(F99="",D99="",D99=0),"",F99/D99)</f>
        <v/>
      </c>
      <c r="P99" s="46" t="str">
        <f aca="false">IF(OR(H99="",D99="",D99=0),"",H99/D99)</f>
        <v/>
      </c>
      <c r="Q99" s="46" t="str">
        <f aca="false">IF(H99="","",IF(I99&lt;&gt;"",I99,IF(D99="","",D99*$E$3)))</f>
        <v/>
      </c>
      <c r="R99" s="46" t="str">
        <f aca="false">IF(H99="","",H99*$E$4)</f>
        <v/>
      </c>
      <c r="S99" s="46" t="str">
        <f aca="false">IF(OR(F99="",H99="",Q99=""),"",H99-F99-Q99-R99)</f>
        <v/>
      </c>
      <c r="T99" s="24" t="str">
        <f aca="false">IF(OR(S99="",H99="",H99=0),"",S99/H99)</f>
        <v/>
      </c>
    </row>
    <row r="100" customFormat="false" ht="15" hidden="false" customHeight="false" outlineLevel="0" collapsed="false">
      <c r="A100" s="30"/>
      <c r="B100" s="30"/>
      <c r="C100" s="30"/>
      <c r="D100" s="27"/>
      <c r="E100" s="43"/>
      <c r="F100" s="41"/>
      <c r="G100" s="43"/>
      <c r="H100" s="41"/>
      <c r="I100" s="41"/>
      <c r="J100" s="30"/>
      <c r="K100" s="30"/>
      <c r="L100" s="30"/>
      <c r="M100" s="39" t="str">
        <f aca="false">IF(OR(E100="",G100=""),"",(G100-E100)/30.44)</f>
        <v/>
      </c>
      <c r="N100" s="46" t="str">
        <f aca="false">IF(OR(F100="",H100=""),"",H100-F100)</f>
        <v/>
      </c>
      <c r="O100" s="46" t="str">
        <f aca="false">IF(OR(F100="",D100="",D100=0),"",F100/D100)</f>
        <v/>
      </c>
      <c r="P100" s="46" t="str">
        <f aca="false">IF(OR(H100="",D100="",D100=0),"",H100/D100)</f>
        <v/>
      </c>
      <c r="Q100" s="46" t="str">
        <f aca="false">IF(H100="","",IF(I100&lt;&gt;"",I100,IF(D100="","",D100*$E$3)))</f>
        <v/>
      </c>
      <c r="R100" s="46" t="str">
        <f aca="false">IF(H100="","",H100*$E$4)</f>
        <v/>
      </c>
      <c r="S100" s="46" t="str">
        <f aca="false">IF(OR(F100="",H100="",Q100=""),"",H100-F100-Q100-R100)</f>
        <v/>
      </c>
      <c r="T100" s="24" t="str">
        <f aca="false">IF(OR(S100="",H100="",H100=0),"",S100/H100)</f>
        <v/>
      </c>
    </row>
    <row r="101" customFormat="false" ht="15" hidden="false" customHeight="false" outlineLevel="0" collapsed="false">
      <c r="A101" s="30"/>
      <c r="B101" s="30"/>
      <c r="C101" s="30"/>
      <c r="D101" s="27"/>
      <c r="E101" s="43"/>
      <c r="F101" s="41"/>
      <c r="G101" s="43"/>
      <c r="H101" s="41"/>
      <c r="I101" s="41"/>
      <c r="J101" s="30"/>
      <c r="K101" s="30"/>
      <c r="L101" s="30"/>
      <c r="M101" s="39" t="str">
        <f aca="false">IF(OR(E101="",G101=""),"",(G101-E101)/30.44)</f>
        <v/>
      </c>
      <c r="N101" s="46" t="str">
        <f aca="false">IF(OR(F101="",H101=""),"",H101-F101)</f>
        <v/>
      </c>
      <c r="O101" s="46" t="str">
        <f aca="false">IF(OR(F101="",D101="",D101=0),"",F101/D101)</f>
        <v/>
      </c>
      <c r="P101" s="46" t="str">
        <f aca="false">IF(OR(H101="",D101="",D101=0),"",H101/D101)</f>
        <v/>
      </c>
      <c r="Q101" s="46" t="str">
        <f aca="false">IF(H101="","",IF(I101&lt;&gt;"",I101,IF(D101="","",D101*$E$3)))</f>
        <v/>
      </c>
      <c r="R101" s="46" t="str">
        <f aca="false">IF(H101="","",H101*$E$4)</f>
        <v/>
      </c>
      <c r="S101" s="46" t="str">
        <f aca="false">IF(OR(F101="",H101="",Q101=""),"",H101-F101-Q101-R101)</f>
        <v/>
      </c>
      <c r="T101" s="24" t="str">
        <f aca="false">IF(OR(S101="",H101="",H101=0),"",S101/H101)</f>
        <v/>
      </c>
    </row>
    <row r="102" customFormat="false" ht="15" hidden="false" customHeight="false" outlineLevel="0" collapsed="false">
      <c r="A102" s="30"/>
      <c r="B102" s="30"/>
      <c r="C102" s="30"/>
      <c r="D102" s="27"/>
      <c r="E102" s="43"/>
      <c r="F102" s="41"/>
      <c r="G102" s="43"/>
      <c r="H102" s="41"/>
      <c r="I102" s="41"/>
      <c r="J102" s="30"/>
      <c r="K102" s="30"/>
      <c r="L102" s="30"/>
      <c r="M102" s="39" t="str">
        <f aca="false">IF(OR(E102="",G102=""),"",(G102-E102)/30.44)</f>
        <v/>
      </c>
      <c r="N102" s="46" t="str">
        <f aca="false">IF(OR(F102="",H102=""),"",H102-F102)</f>
        <v/>
      </c>
      <c r="O102" s="46" t="str">
        <f aca="false">IF(OR(F102="",D102="",D102=0),"",F102/D102)</f>
        <v/>
      </c>
      <c r="P102" s="46" t="str">
        <f aca="false">IF(OR(H102="",D102="",D102=0),"",H102/D102)</f>
        <v/>
      </c>
      <c r="Q102" s="46" t="str">
        <f aca="false">IF(H102="","",IF(I102&lt;&gt;"",I102,IF(D102="","",D102*$E$3)))</f>
        <v/>
      </c>
      <c r="R102" s="46" t="str">
        <f aca="false">IF(H102="","",H102*$E$4)</f>
        <v/>
      </c>
      <c r="S102" s="46" t="str">
        <f aca="false">IF(OR(F102="",H102="",Q102=""),"",H102-F102-Q102-R102)</f>
        <v/>
      </c>
      <c r="T102" s="24" t="str">
        <f aca="false">IF(OR(S102="",H102="",H102=0),"",S102/H102)</f>
        <v/>
      </c>
    </row>
    <row r="103" customFormat="false" ht="15" hidden="false" customHeight="false" outlineLevel="0" collapsed="false">
      <c r="A103" s="30"/>
      <c r="B103" s="30"/>
      <c r="C103" s="30"/>
      <c r="D103" s="27"/>
      <c r="E103" s="43"/>
      <c r="F103" s="41"/>
      <c r="G103" s="43"/>
      <c r="H103" s="41"/>
      <c r="I103" s="41"/>
      <c r="J103" s="30"/>
      <c r="K103" s="30"/>
      <c r="L103" s="30"/>
      <c r="M103" s="39" t="str">
        <f aca="false">IF(OR(E103="",G103=""),"",(G103-E103)/30.44)</f>
        <v/>
      </c>
      <c r="N103" s="46" t="str">
        <f aca="false">IF(OR(F103="",H103=""),"",H103-F103)</f>
        <v/>
      </c>
      <c r="O103" s="46" t="str">
        <f aca="false">IF(OR(F103="",D103="",D103=0),"",F103/D103)</f>
        <v/>
      </c>
      <c r="P103" s="46" t="str">
        <f aca="false">IF(OR(H103="",D103="",D103=0),"",H103/D103)</f>
        <v/>
      </c>
      <c r="Q103" s="46" t="str">
        <f aca="false">IF(H103="","",IF(I103&lt;&gt;"",I103,IF(D103="","",D103*$E$3)))</f>
        <v/>
      </c>
      <c r="R103" s="46" t="str">
        <f aca="false">IF(H103="","",H103*$E$4)</f>
        <v/>
      </c>
      <c r="S103" s="46" t="str">
        <f aca="false">IF(OR(F103="",H103="",Q103=""),"",H103-F103-Q103-R103)</f>
        <v/>
      </c>
      <c r="T103" s="24" t="str">
        <f aca="false">IF(OR(S103="",H103="",H103=0),"",S103/H103)</f>
        <v/>
      </c>
    </row>
    <row r="104" customFormat="false" ht="15" hidden="false" customHeight="false" outlineLevel="0" collapsed="false">
      <c r="A104" s="30"/>
      <c r="B104" s="30"/>
      <c r="C104" s="30"/>
      <c r="D104" s="27"/>
      <c r="E104" s="43"/>
      <c r="F104" s="41"/>
      <c r="G104" s="43"/>
      <c r="H104" s="41"/>
      <c r="I104" s="41"/>
      <c r="J104" s="30"/>
      <c r="K104" s="30"/>
      <c r="L104" s="30"/>
      <c r="M104" s="39" t="str">
        <f aca="false">IF(OR(E104="",G104=""),"",(G104-E104)/30.44)</f>
        <v/>
      </c>
      <c r="N104" s="46" t="str">
        <f aca="false">IF(OR(F104="",H104=""),"",H104-F104)</f>
        <v/>
      </c>
      <c r="O104" s="46" t="str">
        <f aca="false">IF(OR(F104="",D104="",D104=0),"",F104/D104)</f>
        <v/>
      </c>
      <c r="P104" s="46" t="str">
        <f aca="false">IF(OR(H104="",D104="",D104=0),"",H104/D104)</f>
        <v/>
      </c>
      <c r="Q104" s="46" t="str">
        <f aca="false">IF(H104="","",IF(I104&lt;&gt;"",I104,IF(D104="","",D104*$E$3)))</f>
        <v/>
      </c>
      <c r="R104" s="46" t="str">
        <f aca="false">IF(H104="","",H104*$E$4)</f>
        <v/>
      </c>
      <c r="S104" s="46" t="str">
        <f aca="false">IF(OR(F104="",H104="",Q104=""),"",H104-F104-Q104-R104)</f>
        <v/>
      </c>
      <c r="T104" s="24" t="str">
        <f aca="false">IF(OR(S104="",H104="",H104=0),"",S104/H104)</f>
        <v/>
      </c>
    </row>
    <row r="105" customFormat="false" ht="15" hidden="false" customHeight="false" outlineLevel="0" collapsed="false">
      <c r="A105" s="30"/>
      <c r="B105" s="30"/>
      <c r="C105" s="30"/>
      <c r="D105" s="27"/>
      <c r="E105" s="43"/>
      <c r="F105" s="41"/>
      <c r="G105" s="43"/>
      <c r="H105" s="41"/>
      <c r="I105" s="41"/>
      <c r="J105" s="30"/>
      <c r="K105" s="30"/>
      <c r="L105" s="30"/>
      <c r="M105" s="39" t="str">
        <f aca="false">IF(OR(E105="",G105=""),"",(G105-E105)/30.44)</f>
        <v/>
      </c>
      <c r="N105" s="46" t="str">
        <f aca="false">IF(OR(F105="",H105=""),"",H105-F105)</f>
        <v/>
      </c>
      <c r="O105" s="46" t="str">
        <f aca="false">IF(OR(F105="",D105="",D105=0),"",F105/D105)</f>
        <v/>
      </c>
      <c r="P105" s="46" t="str">
        <f aca="false">IF(OR(H105="",D105="",D105=0),"",H105/D105)</f>
        <v/>
      </c>
      <c r="Q105" s="46" t="str">
        <f aca="false">IF(H105="","",IF(I105&lt;&gt;"",I105,IF(D105="","",D105*$E$3)))</f>
        <v/>
      </c>
      <c r="R105" s="46" t="str">
        <f aca="false">IF(H105="","",H105*$E$4)</f>
        <v/>
      </c>
      <c r="S105" s="46" t="str">
        <f aca="false">IF(OR(F105="",H105="",Q105=""),"",H105-F105-Q105-R105)</f>
        <v/>
      </c>
      <c r="T105" s="24" t="str">
        <f aca="false">IF(OR(S105="",H105="",H105=0),"",S105/H105)</f>
        <v/>
      </c>
    </row>
    <row r="106" customFormat="false" ht="15" hidden="false" customHeight="false" outlineLevel="0" collapsed="false">
      <c r="A106" s="30"/>
      <c r="B106" s="30"/>
      <c r="C106" s="30"/>
      <c r="D106" s="27"/>
      <c r="E106" s="43"/>
      <c r="F106" s="41"/>
      <c r="G106" s="43"/>
      <c r="H106" s="41"/>
      <c r="I106" s="41"/>
      <c r="J106" s="30"/>
      <c r="K106" s="30"/>
      <c r="L106" s="30"/>
      <c r="M106" s="39" t="str">
        <f aca="false">IF(OR(E106="",G106=""),"",(G106-E106)/30.44)</f>
        <v/>
      </c>
      <c r="N106" s="46" t="str">
        <f aca="false">IF(OR(F106="",H106=""),"",H106-F106)</f>
        <v/>
      </c>
      <c r="O106" s="46" t="str">
        <f aca="false">IF(OR(F106="",D106="",D106=0),"",F106/D106)</f>
        <v/>
      </c>
      <c r="P106" s="46" t="str">
        <f aca="false">IF(OR(H106="",D106="",D106=0),"",H106/D106)</f>
        <v/>
      </c>
      <c r="Q106" s="46" t="str">
        <f aca="false">IF(H106="","",IF(I106&lt;&gt;"",I106,IF(D106="","",D106*$E$3)))</f>
        <v/>
      </c>
      <c r="R106" s="46" t="str">
        <f aca="false">IF(H106="","",H106*$E$4)</f>
        <v/>
      </c>
      <c r="S106" s="46" t="str">
        <f aca="false">IF(OR(F106="",H106="",Q106=""),"",H106-F106-Q106-R106)</f>
        <v/>
      </c>
      <c r="T106" s="24" t="str">
        <f aca="false">IF(OR(S106="",H106="",H106=0),"",S106/H106)</f>
        <v/>
      </c>
    </row>
    <row r="107" customFormat="false" ht="15" hidden="false" customHeight="false" outlineLevel="0" collapsed="false">
      <c r="A107" s="30"/>
      <c r="B107" s="30"/>
      <c r="C107" s="30"/>
      <c r="D107" s="27"/>
      <c r="E107" s="43"/>
      <c r="F107" s="41"/>
      <c r="G107" s="43"/>
      <c r="H107" s="41"/>
      <c r="I107" s="41"/>
      <c r="J107" s="30"/>
      <c r="K107" s="30"/>
      <c r="L107" s="30"/>
      <c r="M107" s="39" t="str">
        <f aca="false">IF(OR(E107="",G107=""),"",(G107-E107)/30.44)</f>
        <v/>
      </c>
      <c r="N107" s="46" t="str">
        <f aca="false">IF(OR(F107="",H107=""),"",H107-F107)</f>
        <v/>
      </c>
      <c r="O107" s="46" t="str">
        <f aca="false">IF(OR(F107="",D107="",D107=0),"",F107/D107)</f>
        <v/>
      </c>
      <c r="P107" s="46" t="str">
        <f aca="false">IF(OR(H107="",D107="",D107=0),"",H107/D107)</f>
        <v/>
      </c>
      <c r="Q107" s="46" t="str">
        <f aca="false">IF(H107="","",IF(I107&lt;&gt;"",I107,IF(D107="","",D107*$E$3)))</f>
        <v/>
      </c>
      <c r="R107" s="46" t="str">
        <f aca="false">IF(H107="","",H107*$E$4)</f>
        <v/>
      </c>
      <c r="S107" s="46" t="str">
        <f aca="false">IF(OR(F107="",H107="",Q107=""),"",H107-F107-Q107-R107)</f>
        <v/>
      </c>
      <c r="T107" s="24" t="str">
        <f aca="false">IF(OR(S107="",H107="",H107=0),"",S107/H107)</f>
        <v/>
      </c>
    </row>
    <row r="108" customFormat="false" ht="15" hidden="false" customHeight="false" outlineLevel="0" collapsed="false">
      <c r="A108" s="30"/>
      <c r="B108" s="30"/>
      <c r="C108" s="30"/>
      <c r="D108" s="27"/>
      <c r="E108" s="43"/>
      <c r="F108" s="41"/>
      <c r="G108" s="43"/>
      <c r="H108" s="41"/>
      <c r="I108" s="41"/>
      <c r="J108" s="30"/>
      <c r="K108" s="30"/>
      <c r="L108" s="30"/>
      <c r="M108" s="39" t="str">
        <f aca="false">IF(OR(E108="",G108=""),"",(G108-E108)/30.44)</f>
        <v/>
      </c>
      <c r="N108" s="46" t="str">
        <f aca="false">IF(OR(F108="",H108=""),"",H108-F108)</f>
        <v/>
      </c>
      <c r="O108" s="46" t="str">
        <f aca="false">IF(OR(F108="",D108="",D108=0),"",F108/D108)</f>
        <v/>
      </c>
      <c r="P108" s="46" t="str">
        <f aca="false">IF(OR(H108="",D108="",D108=0),"",H108/D108)</f>
        <v/>
      </c>
      <c r="Q108" s="46" t="str">
        <f aca="false">IF(H108="","",IF(I108&lt;&gt;"",I108,IF(D108="","",D108*$E$3)))</f>
        <v/>
      </c>
      <c r="R108" s="46" t="str">
        <f aca="false">IF(H108="","",H108*$E$4)</f>
        <v/>
      </c>
      <c r="S108" s="46" t="str">
        <f aca="false">IF(OR(F108="",H108="",Q108=""),"",H108-F108-Q108-R108)</f>
        <v/>
      </c>
      <c r="T108" s="24" t="str">
        <f aca="false">IF(OR(S108="",H108="",H108=0),"",S108/H108)</f>
        <v/>
      </c>
    </row>
    <row r="109" customFormat="false" ht="15" hidden="false" customHeight="false" outlineLevel="0" collapsed="false">
      <c r="A109" s="30"/>
      <c r="B109" s="30"/>
      <c r="C109" s="30"/>
      <c r="D109" s="27"/>
      <c r="E109" s="43"/>
      <c r="F109" s="41"/>
      <c r="G109" s="43"/>
      <c r="H109" s="41"/>
      <c r="I109" s="41"/>
      <c r="J109" s="30"/>
      <c r="K109" s="30"/>
      <c r="L109" s="30"/>
      <c r="M109" s="39" t="str">
        <f aca="false">IF(OR(E109="",G109=""),"",(G109-E109)/30.44)</f>
        <v/>
      </c>
      <c r="N109" s="46" t="str">
        <f aca="false">IF(OR(F109="",H109=""),"",H109-F109)</f>
        <v/>
      </c>
      <c r="O109" s="46" t="str">
        <f aca="false">IF(OR(F109="",D109="",D109=0),"",F109/D109)</f>
        <v/>
      </c>
      <c r="P109" s="46" t="str">
        <f aca="false">IF(OR(H109="",D109="",D109=0),"",H109/D109)</f>
        <v/>
      </c>
      <c r="Q109" s="46" t="str">
        <f aca="false">IF(H109="","",IF(I109&lt;&gt;"",I109,IF(D109="","",D109*$E$3)))</f>
        <v/>
      </c>
      <c r="R109" s="46" t="str">
        <f aca="false">IF(H109="","",H109*$E$4)</f>
        <v/>
      </c>
      <c r="S109" s="46" t="str">
        <f aca="false">IF(OR(F109="",H109="",Q109=""),"",H109-F109-Q109-R109)</f>
        <v/>
      </c>
      <c r="T109" s="24" t="str">
        <f aca="false">IF(OR(S109="",H109="",H109=0),"",S109/H109)</f>
        <v/>
      </c>
    </row>
    <row r="110" customFormat="false" ht="15" hidden="false" customHeight="false" outlineLevel="0" collapsed="false">
      <c r="A110" s="30"/>
      <c r="B110" s="30"/>
      <c r="C110" s="30"/>
      <c r="D110" s="27"/>
      <c r="E110" s="43"/>
      <c r="F110" s="41"/>
      <c r="G110" s="43"/>
      <c r="H110" s="41"/>
      <c r="I110" s="41"/>
      <c r="J110" s="30"/>
      <c r="K110" s="30"/>
      <c r="L110" s="30"/>
      <c r="M110" s="39" t="str">
        <f aca="false">IF(OR(E110="",G110=""),"",(G110-E110)/30.44)</f>
        <v/>
      </c>
      <c r="N110" s="46" t="str">
        <f aca="false">IF(OR(F110="",H110=""),"",H110-F110)</f>
        <v/>
      </c>
      <c r="O110" s="46" t="str">
        <f aca="false">IF(OR(F110="",D110="",D110=0),"",F110/D110)</f>
        <v/>
      </c>
      <c r="P110" s="46" t="str">
        <f aca="false">IF(OR(H110="",D110="",D110=0),"",H110/D110)</f>
        <v/>
      </c>
      <c r="Q110" s="46" t="str">
        <f aca="false">IF(H110="","",IF(I110&lt;&gt;"",I110,IF(D110="","",D110*$E$3)))</f>
        <v/>
      </c>
      <c r="R110" s="46" t="str">
        <f aca="false">IF(H110="","",H110*$E$4)</f>
        <v/>
      </c>
      <c r="S110" s="46" t="str">
        <f aca="false">IF(OR(F110="",H110="",Q110=""),"",H110-F110-Q110-R110)</f>
        <v/>
      </c>
      <c r="T110" s="24" t="str">
        <f aca="false">IF(OR(S110="",H110="",H110=0),"",S110/H110)</f>
        <v/>
      </c>
    </row>
    <row r="111" customFormat="false" ht="15" hidden="false" customHeight="false" outlineLevel="0" collapsed="false">
      <c r="A111" s="30"/>
      <c r="B111" s="30"/>
      <c r="C111" s="30"/>
      <c r="D111" s="27"/>
      <c r="E111" s="43"/>
      <c r="F111" s="41"/>
      <c r="G111" s="43"/>
      <c r="H111" s="41"/>
      <c r="I111" s="41"/>
      <c r="J111" s="30"/>
      <c r="K111" s="30"/>
      <c r="L111" s="30"/>
      <c r="M111" s="39" t="str">
        <f aca="false">IF(OR(E111="",G111=""),"",(G111-E111)/30.44)</f>
        <v/>
      </c>
      <c r="N111" s="46" t="str">
        <f aca="false">IF(OR(F111="",H111=""),"",H111-F111)</f>
        <v/>
      </c>
      <c r="O111" s="46" t="str">
        <f aca="false">IF(OR(F111="",D111="",D111=0),"",F111/D111)</f>
        <v/>
      </c>
      <c r="P111" s="46" t="str">
        <f aca="false">IF(OR(H111="",D111="",D111=0),"",H111/D111)</f>
        <v/>
      </c>
      <c r="Q111" s="46" t="str">
        <f aca="false">IF(H111="","",IF(I111&lt;&gt;"",I111,IF(D111="","",D111*$E$3)))</f>
        <v/>
      </c>
      <c r="R111" s="46" t="str">
        <f aca="false">IF(H111="","",H111*$E$4)</f>
        <v/>
      </c>
      <c r="S111" s="46" t="str">
        <f aca="false">IF(OR(F111="",H111="",Q111=""),"",H111-F111-Q111-R111)</f>
        <v/>
      </c>
      <c r="T111" s="24" t="str">
        <f aca="false">IF(OR(S111="",H111="",H111=0),"",S111/H111)</f>
        <v/>
      </c>
    </row>
    <row r="112" customFormat="false" ht="15" hidden="false" customHeight="false" outlineLevel="0" collapsed="false">
      <c r="A112" s="30"/>
      <c r="B112" s="30"/>
      <c r="C112" s="30"/>
      <c r="D112" s="27"/>
      <c r="E112" s="43"/>
      <c r="F112" s="41"/>
      <c r="G112" s="43"/>
      <c r="H112" s="41"/>
      <c r="I112" s="41"/>
      <c r="J112" s="30"/>
      <c r="K112" s="30"/>
      <c r="L112" s="30"/>
      <c r="M112" s="39" t="str">
        <f aca="false">IF(OR(E112="",G112=""),"",(G112-E112)/30.44)</f>
        <v/>
      </c>
      <c r="N112" s="46" t="str">
        <f aca="false">IF(OR(F112="",H112=""),"",H112-F112)</f>
        <v/>
      </c>
      <c r="O112" s="46" t="str">
        <f aca="false">IF(OR(F112="",D112="",D112=0),"",F112/D112)</f>
        <v/>
      </c>
      <c r="P112" s="46" t="str">
        <f aca="false">IF(OR(H112="",D112="",D112=0),"",H112/D112)</f>
        <v/>
      </c>
      <c r="Q112" s="46" t="str">
        <f aca="false">IF(H112="","",IF(I112&lt;&gt;"",I112,IF(D112="","",D112*$E$3)))</f>
        <v/>
      </c>
      <c r="R112" s="46" t="str">
        <f aca="false">IF(H112="","",H112*$E$4)</f>
        <v/>
      </c>
      <c r="S112" s="46" t="str">
        <f aca="false">IF(OR(F112="",H112="",Q112=""),"",H112-F112-Q112-R112)</f>
        <v/>
      </c>
      <c r="T112" s="24" t="str">
        <f aca="false">IF(OR(S112="",H112="",H112=0),"",S112/H112)</f>
        <v/>
      </c>
    </row>
    <row r="113" customFormat="false" ht="15" hidden="false" customHeight="false" outlineLevel="0" collapsed="false">
      <c r="A113" s="30"/>
      <c r="B113" s="30"/>
      <c r="C113" s="30"/>
      <c r="D113" s="27"/>
      <c r="E113" s="43"/>
      <c r="F113" s="41"/>
      <c r="G113" s="43"/>
      <c r="H113" s="41"/>
      <c r="I113" s="41"/>
      <c r="J113" s="30"/>
      <c r="K113" s="30"/>
      <c r="L113" s="30"/>
      <c r="M113" s="39" t="str">
        <f aca="false">IF(OR(E113="",G113=""),"",(G113-E113)/30.44)</f>
        <v/>
      </c>
      <c r="N113" s="46" t="str">
        <f aca="false">IF(OR(F113="",H113=""),"",H113-F113)</f>
        <v/>
      </c>
      <c r="O113" s="46" t="str">
        <f aca="false">IF(OR(F113="",D113="",D113=0),"",F113/D113)</f>
        <v/>
      </c>
      <c r="P113" s="46" t="str">
        <f aca="false">IF(OR(H113="",D113="",D113=0),"",H113/D113)</f>
        <v/>
      </c>
      <c r="Q113" s="46" t="str">
        <f aca="false">IF(H113="","",IF(I113&lt;&gt;"",I113,IF(D113="","",D113*$E$3)))</f>
        <v/>
      </c>
      <c r="R113" s="46" t="str">
        <f aca="false">IF(H113="","",H113*$E$4)</f>
        <v/>
      </c>
      <c r="S113" s="46" t="str">
        <f aca="false">IF(OR(F113="",H113="",Q113=""),"",H113-F113-Q113-R113)</f>
        <v/>
      </c>
      <c r="T113" s="24" t="str">
        <f aca="false">IF(OR(S113="",H113="",H113=0),"",S113/H113)</f>
        <v/>
      </c>
    </row>
    <row r="114" customFormat="false" ht="15" hidden="false" customHeight="false" outlineLevel="0" collapsed="false">
      <c r="A114" s="30"/>
      <c r="B114" s="30"/>
      <c r="C114" s="30"/>
      <c r="D114" s="27"/>
      <c r="E114" s="43"/>
      <c r="F114" s="41"/>
      <c r="G114" s="43"/>
      <c r="H114" s="41"/>
      <c r="I114" s="41"/>
      <c r="J114" s="30"/>
      <c r="K114" s="30"/>
      <c r="L114" s="30"/>
      <c r="M114" s="39" t="str">
        <f aca="false">IF(OR(E114="",G114=""),"",(G114-E114)/30.44)</f>
        <v/>
      </c>
      <c r="N114" s="46" t="str">
        <f aca="false">IF(OR(F114="",H114=""),"",H114-F114)</f>
        <v/>
      </c>
      <c r="O114" s="46" t="str">
        <f aca="false">IF(OR(F114="",D114="",D114=0),"",F114/D114)</f>
        <v/>
      </c>
      <c r="P114" s="46" t="str">
        <f aca="false">IF(OR(H114="",D114="",D114=0),"",H114/D114)</f>
        <v/>
      </c>
      <c r="Q114" s="46" t="str">
        <f aca="false">IF(H114="","",IF(I114&lt;&gt;"",I114,IF(D114="","",D114*$E$3)))</f>
        <v/>
      </c>
      <c r="R114" s="46" t="str">
        <f aca="false">IF(H114="","",H114*$E$4)</f>
        <v/>
      </c>
      <c r="S114" s="46" t="str">
        <f aca="false">IF(OR(F114="",H114="",Q114=""),"",H114-F114-Q114-R114)</f>
        <v/>
      </c>
      <c r="T114" s="24" t="str">
        <f aca="false">IF(OR(S114="",H114="",H114=0),"",S114/H114)</f>
        <v/>
      </c>
    </row>
    <row r="115" customFormat="false" ht="15" hidden="false" customHeight="false" outlineLevel="0" collapsed="false">
      <c r="A115" s="30"/>
      <c r="B115" s="30"/>
      <c r="C115" s="30"/>
      <c r="D115" s="27"/>
      <c r="E115" s="43"/>
      <c r="F115" s="41"/>
      <c r="G115" s="43"/>
      <c r="H115" s="41"/>
      <c r="I115" s="41"/>
      <c r="J115" s="30"/>
      <c r="K115" s="30"/>
      <c r="L115" s="30"/>
      <c r="M115" s="39" t="str">
        <f aca="false">IF(OR(E115="",G115=""),"",(G115-E115)/30.44)</f>
        <v/>
      </c>
      <c r="N115" s="46" t="str">
        <f aca="false">IF(OR(F115="",H115=""),"",H115-F115)</f>
        <v/>
      </c>
      <c r="O115" s="46" t="str">
        <f aca="false">IF(OR(F115="",D115="",D115=0),"",F115/D115)</f>
        <v/>
      </c>
      <c r="P115" s="46" t="str">
        <f aca="false">IF(OR(H115="",D115="",D115=0),"",H115/D115)</f>
        <v/>
      </c>
      <c r="Q115" s="46" t="str">
        <f aca="false">IF(H115="","",IF(I115&lt;&gt;"",I115,IF(D115="","",D115*$E$3)))</f>
        <v/>
      </c>
      <c r="R115" s="46" t="str">
        <f aca="false">IF(H115="","",H115*$E$4)</f>
        <v/>
      </c>
      <c r="S115" s="46" t="str">
        <f aca="false">IF(OR(F115="",H115="",Q115=""),"",H115-F115-Q115-R115)</f>
        <v/>
      </c>
      <c r="T115" s="24" t="str">
        <f aca="false">IF(OR(S115="",H115="",H115=0),"",S115/H115)</f>
        <v/>
      </c>
    </row>
    <row r="116" customFormat="false" ht="15" hidden="false" customHeight="false" outlineLevel="0" collapsed="false">
      <c r="A116" s="30"/>
      <c r="B116" s="30"/>
      <c r="C116" s="30"/>
      <c r="D116" s="27"/>
      <c r="E116" s="43"/>
      <c r="F116" s="41"/>
      <c r="G116" s="43"/>
      <c r="H116" s="41"/>
      <c r="I116" s="41"/>
      <c r="J116" s="30"/>
      <c r="K116" s="30"/>
      <c r="L116" s="30"/>
      <c r="M116" s="39" t="str">
        <f aca="false">IF(OR(E116="",G116=""),"",(G116-E116)/30.44)</f>
        <v/>
      </c>
      <c r="N116" s="46" t="str">
        <f aca="false">IF(OR(F116="",H116=""),"",H116-F116)</f>
        <v/>
      </c>
      <c r="O116" s="46" t="str">
        <f aca="false">IF(OR(F116="",D116="",D116=0),"",F116/D116)</f>
        <v/>
      </c>
      <c r="P116" s="46" t="str">
        <f aca="false">IF(OR(H116="",D116="",D116=0),"",H116/D116)</f>
        <v/>
      </c>
      <c r="Q116" s="46" t="str">
        <f aca="false">IF(H116="","",IF(I116&lt;&gt;"",I116,IF(D116="","",D116*$E$3)))</f>
        <v/>
      </c>
      <c r="R116" s="46" t="str">
        <f aca="false">IF(H116="","",H116*$E$4)</f>
        <v/>
      </c>
      <c r="S116" s="46" t="str">
        <f aca="false">IF(OR(F116="",H116="",Q116=""),"",H116-F116-Q116-R116)</f>
        <v/>
      </c>
      <c r="T116" s="24" t="str">
        <f aca="false">IF(OR(S116="",H116="",H116=0),"",S116/H116)</f>
        <v/>
      </c>
    </row>
    <row r="117" customFormat="false" ht="15" hidden="false" customHeight="false" outlineLevel="0" collapsed="false">
      <c r="A117" s="30"/>
      <c r="B117" s="30"/>
      <c r="C117" s="30"/>
      <c r="D117" s="27"/>
      <c r="E117" s="43"/>
      <c r="F117" s="41"/>
      <c r="G117" s="43"/>
      <c r="H117" s="41"/>
      <c r="I117" s="41"/>
      <c r="J117" s="30"/>
      <c r="K117" s="30"/>
      <c r="L117" s="30"/>
      <c r="M117" s="39" t="str">
        <f aca="false">IF(OR(E117="",G117=""),"",(G117-E117)/30.44)</f>
        <v/>
      </c>
      <c r="N117" s="46" t="str">
        <f aca="false">IF(OR(F117="",H117=""),"",H117-F117)</f>
        <v/>
      </c>
      <c r="O117" s="46" t="str">
        <f aca="false">IF(OR(F117="",D117="",D117=0),"",F117/D117)</f>
        <v/>
      </c>
      <c r="P117" s="46" t="str">
        <f aca="false">IF(OR(H117="",D117="",D117=0),"",H117/D117)</f>
        <v/>
      </c>
      <c r="Q117" s="46" t="str">
        <f aca="false">IF(H117="","",IF(I117&lt;&gt;"",I117,IF(D117="","",D117*$E$3)))</f>
        <v/>
      </c>
      <c r="R117" s="46" t="str">
        <f aca="false">IF(H117="","",H117*$E$4)</f>
        <v/>
      </c>
      <c r="S117" s="46" t="str">
        <f aca="false">IF(OR(F117="",H117="",Q117=""),"",H117-F117-Q117-R117)</f>
        <v/>
      </c>
      <c r="T117" s="24" t="str">
        <f aca="false">IF(OR(S117="",H117="",H117=0),"",S117/H117)</f>
        <v/>
      </c>
    </row>
    <row r="118" customFormat="false" ht="15" hidden="false" customHeight="false" outlineLevel="0" collapsed="false">
      <c r="A118" s="30"/>
      <c r="B118" s="30"/>
      <c r="C118" s="30"/>
      <c r="D118" s="27"/>
      <c r="E118" s="43"/>
      <c r="F118" s="41"/>
      <c r="G118" s="43"/>
      <c r="H118" s="41"/>
      <c r="I118" s="41"/>
      <c r="J118" s="30"/>
      <c r="K118" s="30"/>
      <c r="L118" s="30"/>
      <c r="M118" s="39" t="str">
        <f aca="false">IF(OR(E118="",G118=""),"",(G118-E118)/30.44)</f>
        <v/>
      </c>
      <c r="N118" s="46" t="str">
        <f aca="false">IF(OR(F118="",H118=""),"",H118-F118)</f>
        <v/>
      </c>
      <c r="O118" s="46" t="str">
        <f aca="false">IF(OR(F118="",D118="",D118=0),"",F118/D118)</f>
        <v/>
      </c>
      <c r="P118" s="46" t="str">
        <f aca="false">IF(OR(H118="",D118="",D118=0),"",H118/D118)</f>
        <v/>
      </c>
      <c r="Q118" s="46" t="str">
        <f aca="false">IF(H118="","",IF(I118&lt;&gt;"",I118,IF(D118="","",D118*$E$3)))</f>
        <v/>
      </c>
      <c r="R118" s="46" t="str">
        <f aca="false">IF(H118="","",H118*$E$4)</f>
        <v/>
      </c>
      <c r="S118" s="46" t="str">
        <f aca="false">IF(OR(F118="",H118="",Q118=""),"",H118-F118-Q118-R118)</f>
        <v/>
      </c>
      <c r="T118" s="24" t="str">
        <f aca="false">IF(OR(S118="",H118="",H118=0),"",S118/H118)</f>
        <v/>
      </c>
    </row>
    <row r="119" customFormat="false" ht="15" hidden="false" customHeight="false" outlineLevel="0" collapsed="false">
      <c r="A119" s="30"/>
      <c r="B119" s="30"/>
      <c r="C119" s="30"/>
      <c r="D119" s="27"/>
      <c r="E119" s="43"/>
      <c r="F119" s="41"/>
      <c r="G119" s="43"/>
      <c r="H119" s="41"/>
      <c r="I119" s="41"/>
      <c r="J119" s="30"/>
      <c r="K119" s="30"/>
      <c r="L119" s="30"/>
      <c r="M119" s="39" t="str">
        <f aca="false">IF(OR(E119="",G119=""),"",(G119-E119)/30.44)</f>
        <v/>
      </c>
      <c r="N119" s="46" t="str">
        <f aca="false">IF(OR(F119="",H119=""),"",H119-F119)</f>
        <v/>
      </c>
      <c r="O119" s="46" t="str">
        <f aca="false">IF(OR(F119="",D119="",D119=0),"",F119/D119)</f>
        <v/>
      </c>
      <c r="P119" s="46" t="str">
        <f aca="false">IF(OR(H119="",D119="",D119=0),"",H119/D119)</f>
        <v/>
      </c>
      <c r="Q119" s="46" t="str">
        <f aca="false">IF(H119="","",IF(I119&lt;&gt;"",I119,IF(D119="","",D119*$E$3)))</f>
        <v/>
      </c>
      <c r="R119" s="46" t="str">
        <f aca="false">IF(H119="","",H119*$E$4)</f>
        <v/>
      </c>
      <c r="S119" s="46" t="str">
        <f aca="false">IF(OR(F119="",H119="",Q119=""),"",H119-F119-Q119-R119)</f>
        <v/>
      </c>
      <c r="T119" s="24" t="str">
        <f aca="false">IF(OR(S119="",H119="",H119=0),"",S119/H119)</f>
        <v/>
      </c>
    </row>
    <row r="120" customFormat="false" ht="15" hidden="false" customHeight="false" outlineLevel="0" collapsed="false">
      <c r="A120" s="30"/>
      <c r="B120" s="30"/>
      <c r="C120" s="30"/>
      <c r="D120" s="27"/>
      <c r="E120" s="43"/>
      <c r="F120" s="41"/>
      <c r="G120" s="43"/>
      <c r="H120" s="41"/>
      <c r="I120" s="41"/>
      <c r="J120" s="30"/>
      <c r="K120" s="30"/>
      <c r="L120" s="30"/>
      <c r="M120" s="39" t="str">
        <f aca="false">IF(OR(E120="",G120=""),"",(G120-E120)/30.44)</f>
        <v/>
      </c>
      <c r="N120" s="46" t="str">
        <f aca="false">IF(OR(F120="",H120=""),"",H120-F120)</f>
        <v/>
      </c>
      <c r="O120" s="46" t="str">
        <f aca="false">IF(OR(F120="",D120="",D120=0),"",F120/D120)</f>
        <v/>
      </c>
      <c r="P120" s="46" t="str">
        <f aca="false">IF(OR(H120="",D120="",D120=0),"",H120/D120)</f>
        <v/>
      </c>
      <c r="Q120" s="46" t="str">
        <f aca="false">IF(H120="","",IF(I120&lt;&gt;"",I120,IF(D120="","",D120*$E$3)))</f>
        <v/>
      </c>
      <c r="R120" s="46" t="str">
        <f aca="false">IF(H120="","",H120*$E$4)</f>
        <v/>
      </c>
      <c r="S120" s="46" t="str">
        <f aca="false">IF(OR(F120="",H120="",Q120=""),"",H120-F120-Q120-R120)</f>
        <v/>
      </c>
      <c r="T120" s="24" t="str">
        <f aca="false">IF(OR(S120="",H120="",H120=0),"",S120/H120)</f>
        <v/>
      </c>
    </row>
    <row r="121" customFormat="false" ht="15" hidden="false" customHeight="false" outlineLevel="0" collapsed="false">
      <c r="A121" s="30"/>
      <c r="B121" s="30"/>
      <c r="C121" s="30"/>
      <c r="D121" s="27"/>
      <c r="E121" s="43"/>
      <c r="F121" s="41"/>
      <c r="G121" s="43"/>
      <c r="H121" s="41"/>
      <c r="I121" s="41"/>
      <c r="J121" s="30"/>
      <c r="K121" s="30"/>
      <c r="L121" s="30"/>
      <c r="M121" s="39" t="str">
        <f aca="false">IF(OR(E121="",G121=""),"",(G121-E121)/30.44)</f>
        <v/>
      </c>
      <c r="N121" s="46" t="str">
        <f aca="false">IF(OR(F121="",H121=""),"",H121-F121)</f>
        <v/>
      </c>
      <c r="O121" s="46" t="str">
        <f aca="false">IF(OR(F121="",D121="",D121=0),"",F121/D121)</f>
        <v/>
      </c>
      <c r="P121" s="46" t="str">
        <f aca="false">IF(OR(H121="",D121="",D121=0),"",H121/D121)</f>
        <v/>
      </c>
      <c r="Q121" s="46" t="str">
        <f aca="false">IF(H121="","",IF(I121&lt;&gt;"",I121,IF(D121="","",D121*$E$3)))</f>
        <v/>
      </c>
      <c r="R121" s="46" t="str">
        <f aca="false">IF(H121="","",H121*$E$4)</f>
        <v/>
      </c>
      <c r="S121" s="46" t="str">
        <f aca="false">IF(OR(F121="",H121="",Q121=""),"",H121-F121-Q121-R121)</f>
        <v/>
      </c>
      <c r="T121" s="24" t="str">
        <f aca="false">IF(OR(S121="",H121="",H121=0),"",S121/H121)</f>
        <v/>
      </c>
    </row>
    <row r="122" customFormat="false" ht="15" hidden="false" customHeight="false" outlineLevel="0" collapsed="false">
      <c r="A122" s="30"/>
      <c r="B122" s="30"/>
      <c r="C122" s="30"/>
      <c r="D122" s="27"/>
      <c r="E122" s="43"/>
      <c r="F122" s="41"/>
      <c r="G122" s="43"/>
      <c r="H122" s="41"/>
      <c r="I122" s="41"/>
      <c r="J122" s="30"/>
      <c r="K122" s="30"/>
      <c r="L122" s="30"/>
      <c r="M122" s="39" t="str">
        <f aca="false">IF(OR(E122="",G122=""),"",(G122-E122)/30.44)</f>
        <v/>
      </c>
      <c r="N122" s="46" t="str">
        <f aca="false">IF(OR(F122="",H122=""),"",H122-F122)</f>
        <v/>
      </c>
      <c r="O122" s="46" t="str">
        <f aca="false">IF(OR(F122="",D122="",D122=0),"",F122/D122)</f>
        <v/>
      </c>
      <c r="P122" s="46" t="str">
        <f aca="false">IF(OR(H122="",D122="",D122=0),"",H122/D122)</f>
        <v/>
      </c>
      <c r="Q122" s="46" t="str">
        <f aca="false">IF(H122="","",IF(I122&lt;&gt;"",I122,IF(D122="","",D122*$E$3)))</f>
        <v/>
      </c>
      <c r="R122" s="46" t="str">
        <f aca="false">IF(H122="","",H122*$E$4)</f>
        <v/>
      </c>
      <c r="S122" s="46" t="str">
        <f aca="false">IF(OR(F122="",H122="",Q122=""),"",H122-F122-Q122-R122)</f>
        <v/>
      </c>
      <c r="T122" s="24" t="str">
        <f aca="false">IF(OR(S122="",H122="",H122=0),"",S122/H122)</f>
        <v/>
      </c>
    </row>
    <row r="123" customFormat="false" ht="15" hidden="false" customHeight="false" outlineLevel="0" collapsed="false">
      <c r="A123" s="30"/>
      <c r="B123" s="30"/>
      <c r="C123" s="30"/>
      <c r="D123" s="27"/>
      <c r="E123" s="43"/>
      <c r="F123" s="41"/>
      <c r="G123" s="43"/>
      <c r="H123" s="41"/>
      <c r="I123" s="41"/>
      <c r="J123" s="30"/>
      <c r="K123" s="30"/>
      <c r="L123" s="30"/>
      <c r="M123" s="39" t="str">
        <f aca="false">IF(OR(E123="",G123=""),"",(G123-E123)/30.44)</f>
        <v/>
      </c>
      <c r="N123" s="46" t="str">
        <f aca="false">IF(OR(F123="",H123=""),"",H123-F123)</f>
        <v/>
      </c>
      <c r="O123" s="46" t="str">
        <f aca="false">IF(OR(F123="",D123="",D123=0),"",F123/D123)</f>
        <v/>
      </c>
      <c r="P123" s="46" t="str">
        <f aca="false">IF(OR(H123="",D123="",D123=0),"",H123/D123)</f>
        <v/>
      </c>
      <c r="Q123" s="46" t="str">
        <f aca="false">IF(H123="","",IF(I123&lt;&gt;"",I123,IF(D123="","",D123*$E$3)))</f>
        <v/>
      </c>
      <c r="R123" s="46" t="str">
        <f aca="false">IF(H123="","",H123*$E$4)</f>
        <v/>
      </c>
      <c r="S123" s="46" t="str">
        <f aca="false">IF(OR(F123="",H123="",Q123=""),"",H123-F123-Q123-R123)</f>
        <v/>
      </c>
      <c r="T123" s="24" t="str">
        <f aca="false">IF(OR(S123="",H123="",H123=0),"",S123/H123)</f>
        <v/>
      </c>
    </row>
    <row r="124" customFormat="false" ht="15" hidden="false" customHeight="false" outlineLevel="0" collapsed="false">
      <c r="A124" s="30"/>
      <c r="B124" s="30"/>
      <c r="C124" s="30"/>
      <c r="D124" s="27"/>
      <c r="E124" s="43"/>
      <c r="F124" s="41"/>
      <c r="G124" s="43"/>
      <c r="H124" s="41"/>
      <c r="I124" s="41"/>
      <c r="J124" s="30"/>
      <c r="K124" s="30"/>
      <c r="L124" s="30"/>
      <c r="M124" s="39" t="str">
        <f aca="false">IF(OR(E124="",G124=""),"",(G124-E124)/30.44)</f>
        <v/>
      </c>
      <c r="N124" s="46" t="str">
        <f aca="false">IF(OR(F124="",H124=""),"",H124-F124)</f>
        <v/>
      </c>
      <c r="O124" s="46" t="str">
        <f aca="false">IF(OR(F124="",D124="",D124=0),"",F124/D124)</f>
        <v/>
      </c>
      <c r="P124" s="46" t="str">
        <f aca="false">IF(OR(H124="",D124="",D124=0),"",H124/D124)</f>
        <v/>
      </c>
      <c r="Q124" s="46" t="str">
        <f aca="false">IF(H124="","",IF(I124&lt;&gt;"",I124,IF(D124="","",D124*$E$3)))</f>
        <v/>
      </c>
      <c r="R124" s="46" t="str">
        <f aca="false">IF(H124="","",H124*$E$4)</f>
        <v/>
      </c>
      <c r="S124" s="46" t="str">
        <f aca="false">IF(OR(F124="",H124="",Q124=""),"",H124-F124-Q124-R124)</f>
        <v/>
      </c>
      <c r="T124" s="24" t="str">
        <f aca="false">IF(OR(S124="",H124="",H124=0),"",S124/H124)</f>
        <v/>
      </c>
    </row>
    <row r="125" customFormat="false" ht="15" hidden="false" customHeight="false" outlineLevel="0" collapsed="false">
      <c r="A125" s="30"/>
      <c r="B125" s="30"/>
      <c r="C125" s="30"/>
      <c r="D125" s="27"/>
      <c r="E125" s="43"/>
      <c r="F125" s="41"/>
      <c r="G125" s="43"/>
      <c r="H125" s="41"/>
      <c r="I125" s="41"/>
      <c r="J125" s="30"/>
      <c r="K125" s="30"/>
      <c r="L125" s="30"/>
      <c r="M125" s="39" t="str">
        <f aca="false">IF(OR(E125="",G125=""),"",(G125-E125)/30.44)</f>
        <v/>
      </c>
      <c r="N125" s="46" t="str">
        <f aca="false">IF(OR(F125="",H125=""),"",H125-F125)</f>
        <v/>
      </c>
      <c r="O125" s="46" t="str">
        <f aca="false">IF(OR(F125="",D125="",D125=0),"",F125/D125)</f>
        <v/>
      </c>
      <c r="P125" s="46" t="str">
        <f aca="false">IF(OR(H125="",D125="",D125=0),"",H125/D125)</f>
        <v/>
      </c>
      <c r="Q125" s="46" t="str">
        <f aca="false">IF(H125="","",IF(I125&lt;&gt;"",I125,IF(D125="","",D125*$E$3)))</f>
        <v/>
      </c>
      <c r="R125" s="46" t="str">
        <f aca="false">IF(H125="","",H125*$E$4)</f>
        <v/>
      </c>
      <c r="S125" s="46" t="str">
        <f aca="false">IF(OR(F125="",H125="",Q125=""),"",H125-F125-Q125-R125)</f>
        <v/>
      </c>
      <c r="T125" s="24" t="str">
        <f aca="false">IF(OR(S125="",H125="",H125=0),"",S125/H125)</f>
        <v/>
      </c>
    </row>
    <row r="126" customFormat="false" ht="15" hidden="false" customHeight="false" outlineLevel="0" collapsed="false">
      <c r="A126" s="30"/>
      <c r="B126" s="30"/>
      <c r="C126" s="30"/>
      <c r="D126" s="27"/>
      <c r="E126" s="43"/>
      <c r="F126" s="41"/>
      <c r="G126" s="43"/>
      <c r="H126" s="41"/>
      <c r="I126" s="41"/>
      <c r="J126" s="30"/>
      <c r="K126" s="30"/>
      <c r="L126" s="30"/>
      <c r="M126" s="39" t="str">
        <f aca="false">IF(OR(E126="",G126=""),"",(G126-E126)/30.44)</f>
        <v/>
      </c>
      <c r="N126" s="46" t="str">
        <f aca="false">IF(OR(F126="",H126=""),"",H126-F126)</f>
        <v/>
      </c>
      <c r="O126" s="46" t="str">
        <f aca="false">IF(OR(F126="",D126="",D126=0),"",F126/D126)</f>
        <v/>
      </c>
      <c r="P126" s="46" t="str">
        <f aca="false">IF(OR(H126="",D126="",D126=0),"",H126/D126)</f>
        <v/>
      </c>
      <c r="Q126" s="46" t="str">
        <f aca="false">IF(H126="","",IF(I126&lt;&gt;"",I126,IF(D126="","",D126*$E$3)))</f>
        <v/>
      </c>
      <c r="R126" s="46" t="str">
        <f aca="false">IF(H126="","",H126*$E$4)</f>
        <v/>
      </c>
      <c r="S126" s="46" t="str">
        <f aca="false">IF(OR(F126="",H126="",Q126=""),"",H126-F126-Q126-R126)</f>
        <v/>
      </c>
      <c r="T126" s="24" t="str">
        <f aca="false">IF(OR(S126="",H126="",H126=0),"",S126/H126)</f>
        <v/>
      </c>
    </row>
    <row r="127" customFormat="false" ht="15" hidden="false" customHeight="false" outlineLevel="0" collapsed="false">
      <c r="A127" s="30"/>
      <c r="B127" s="30"/>
      <c r="C127" s="30"/>
      <c r="D127" s="27"/>
      <c r="E127" s="43"/>
      <c r="F127" s="41"/>
      <c r="G127" s="43"/>
      <c r="H127" s="41"/>
      <c r="I127" s="41"/>
      <c r="J127" s="30"/>
      <c r="K127" s="30"/>
      <c r="L127" s="30"/>
      <c r="M127" s="39" t="str">
        <f aca="false">IF(OR(E127="",G127=""),"",(G127-E127)/30.44)</f>
        <v/>
      </c>
      <c r="N127" s="46" t="str">
        <f aca="false">IF(OR(F127="",H127=""),"",H127-F127)</f>
        <v/>
      </c>
      <c r="O127" s="46" t="str">
        <f aca="false">IF(OR(F127="",D127="",D127=0),"",F127/D127)</f>
        <v/>
      </c>
      <c r="P127" s="46" t="str">
        <f aca="false">IF(OR(H127="",D127="",D127=0),"",H127/D127)</f>
        <v/>
      </c>
      <c r="Q127" s="46" t="str">
        <f aca="false">IF(H127="","",IF(I127&lt;&gt;"",I127,IF(D127="","",D127*$E$3)))</f>
        <v/>
      </c>
      <c r="R127" s="46" t="str">
        <f aca="false">IF(H127="","",H127*$E$4)</f>
        <v/>
      </c>
      <c r="S127" s="46" t="str">
        <f aca="false">IF(OR(F127="",H127="",Q127=""),"",H127-F127-Q127-R127)</f>
        <v/>
      </c>
      <c r="T127" s="24" t="str">
        <f aca="false">IF(OR(S127="",H127="",H127=0),"",S127/H127)</f>
        <v/>
      </c>
    </row>
    <row r="128" customFormat="false" ht="15" hidden="false" customHeight="false" outlineLevel="0" collapsed="false">
      <c r="A128" s="30"/>
      <c r="B128" s="30"/>
      <c r="C128" s="30"/>
      <c r="D128" s="27"/>
      <c r="E128" s="43"/>
      <c r="F128" s="41"/>
      <c r="G128" s="43"/>
      <c r="H128" s="41"/>
      <c r="I128" s="41"/>
      <c r="J128" s="30"/>
      <c r="K128" s="30"/>
      <c r="L128" s="30"/>
      <c r="M128" s="39" t="str">
        <f aca="false">IF(OR(E128="",G128=""),"",(G128-E128)/30.44)</f>
        <v/>
      </c>
      <c r="N128" s="46" t="str">
        <f aca="false">IF(OR(F128="",H128=""),"",H128-F128)</f>
        <v/>
      </c>
      <c r="O128" s="46" t="str">
        <f aca="false">IF(OR(F128="",D128="",D128=0),"",F128/D128)</f>
        <v/>
      </c>
      <c r="P128" s="46" t="str">
        <f aca="false">IF(OR(H128="",D128="",D128=0),"",H128/D128)</f>
        <v/>
      </c>
      <c r="Q128" s="46" t="str">
        <f aca="false">IF(H128="","",IF(I128&lt;&gt;"",I128,IF(D128="","",D128*$E$3)))</f>
        <v/>
      </c>
      <c r="R128" s="46" t="str">
        <f aca="false">IF(H128="","",H128*$E$4)</f>
        <v/>
      </c>
      <c r="S128" s="46" t="str">
        <f aca="false">IF(OR(F128="",H128="",Q128=""),"",H128-F128-Q128-R128)</f>
        <v/>
      </c>
      <c r="T128" s="24" t="str">
        <f aca="false">IF(OR(S128="",H128="",H128=0),"",S128/H128)</f>
        <v/>
      </c>
    </row>
    <row r="129" customFormat="false" ht="15" hidden="false" customHeight="false" outlineLevel="0" collapsed="false">
      <c r="A129" s="30"/>
      <c r="B129" s="30"/>
      <c r="C129" s="30"/>
      <c r="D129" s="27"/>
      <c r="E129" s="43"/>
      <c r="F129" s="41"/>
      <c r="G129" s="43"/>
      <c r="H129" s="41"/>
      <c r="I129" s="41"/>
      <c r="J129" s="30"/>
      <c r="K129" s="30"/>
      <c r="L129" s="30"/>
      <c r="M129" s="39" t="str">
        <f aca="false">IF(OR(E129="",G129=""),"",(G129-E129)/30.44)</f>
        <v/>
      </c>
      <c r="N129" s="46" t="str">
        <f aca="false">IF(OR(F129="",H129=""),"",H129-F129)</f>
        <v/>
      </c>
      <c r="O129" s="46" t="str">
        <f aca="false">IF(OR(F129="",D129="",D129=0),"",F129/D129)</f>
        <v/>
      </c>
      <c r="P129" s="46" t="str">
        <f aca="false">IF(OR(H129="",D129="",D129=0),"",H129/D129)</f>
        <v/>
      </c>
      <c r="Q129" s="46" t="str">
        <f aca="false">IF(H129="","",IF(I129&lt;&gt;"",I129,IF(D129="","",D129*$E$3)))</f>
        <v/>
      </c>
      <c r="R129" s="46" t="str">
        <f aca="false">IF(H129="","",H129*$E$4)</f>
        <v/>
      </c>
      <c r="S129" s="46" t="str">
        <f aca="false">IF(OR(F129="",H129="",Q129=""),"",H129-F129-Q129-R129)</f>
        <v/>
      </c>
      <c r="T129" s="24" t="str">
        <f aca="false">IF(OR(S129="",H129="",H129=0),"",S129/H129)</f>
        <v/>
      </c>
    </row>
    <row r="130" customFormat="false" ht="15" hidden="false" customHeight="false" outlineLevel="0" collapsed="false">
      <c r="A130" s="30"/>
      <c r="B130" s="30"/>
      <c r="C130" s="30"/>
      <c r="D130" s="27"/>
      <c r="E130" s="43"/>
      <c r="F130" s="41"/>
      <c r="G130" s="43"/>
      <c r="H130" s="41"/>
      <c r="I130" s="41"/>
      <c r="J130" s="30"/>
      <c r="K130" s="30"/>
      <c r="L130" s="30"/>
      <c r="M130" s="39" t="str">
        <f aca="false">IF(OR(E130="",G130=""),"",(G130-E130)/30.44)</f>
        <v/>
      </c>
      <c r="N130" s="46" t="str">
        <f aca="false">IF(OR(F130="",H130=""),"",H130-F130)</f>
        <v/>
      </c>
      <c r="O130" s="46" t="str">
        <f aca="false">IF(OR(F130="",D130="",D130=0),"",F130/D130)</f>
        <v/>
      </c>
      <c r="P130" s="46" t="str">
        <f aca="false">IF(OR(H130="",D130="",D130=0),"",H130/D130)</f>
        <v/>
      </c>
      <c r="Q130" s="46" t="str">
        <f aca="false">IF(H130="","",IF(I130&lt;&gt;"",I130,IF(D130="","",D130*$E$3)))</f>
        <v/>
      </c>
      <c r="R130" s="46" t="str">
        <f aca="false">IF(H130="","",H130*$E$4)</f>
        <v/>
      </c>
      <c r="S130" s="46" t="str">
        <f aca="false">IF(OR(F130="",H130="",Q130=""),"",H130-F130-Q130-R130)</f>
        <v/>
      </c>
      <c r="T130" s="24" t="str">
        <f aca="false">IF(OR(S130="",H130="",H130=0),"",S130/H130)</f>
        <v/>
      </c>
    </row>
    <row r="131" customFormat="false" ht="15" hidden="false" customHeight="false" outlineLevel="0" collapsed="false">
      <c r="A131" s="30"/>
      <c r="B131" s="30"/>
      <c r="C131" s="30"/>
      <c r="D131" s="27"/>
      <c r="E131" s="43"/>
      <c r="F131" s="41"/>
      <c r="G131" s="43"/>
      <c r="H131" s="41"/>
      <c r="I131" s="41"/>
      <c r="J131" s="30"/>
      <c r="K131" s="30"/>
      <c r="L131" s="30"/>
      <c r="M131" s="39" t="str">
        <f aca="false">IF(OR(E131="",G131=""),"",(G131-E131)/30.44)</f>
        <v/>
      </c>
      <c r="N131" s="46" t="str">
        <f aca="false">IF(OR(F131="",H131=""),"",H131-F131)</f>
        <v/>
      </c>
      <c r="O131" s="46" t="str">
        <f aca="false">IF(OR(F131="",D131="",D131=0),"",F131/D131)</f>
        <v/>
      </c>
      <c r="P131" s="46" t="str">
        <f aca="false">IF(OR(H131="",D131="",D131=0),"",H131/D131)</f>
        <v/>
      </c>
      <c r="Q131" s="46" t="str">
        <f aca="false">IF(H131="","",IF(I131&lt;&gt;"",I131,IF(D131="","",D131*$E$3)))</f>
        <v/>
      </c>
      <c r="R131" s="46" t="str">
        <f aca="false">IF(H131="","",H131*$E$4)</f>
        <v/>
      </c>
      <c r="S131" s="46" t="str">
        <f aca="false">IF(OR(F131="",H131="",Q131=""),"",H131-F131-Q131-R131)</f>
        <v/>
      </c>
      <c r="T131" s="24" t="str">
        <f aca="false">IF(OR(S131="",H131="",H131=0),"",S131/H131)</f>
        <v/>
      </c>
    </row>
    <row r="132" customFormat="false" ht="15" hidden="false" customHeight="false" outlineLevel="0" collapsed="false">
      <c r="A132" s="30"/>
      <c r="B132" s="30"/>
      <c r="C132" s="30"/>
      <c r="D132" s="27"/>
      <c r="E132" s="43"/>
      <c r="F132" s="41"/>
      <c r="G132" s="43"/>
      <c r="H132" s="41"/>
      <c r="I132" s="41"/>
      <c r="J132" s="30"/>
      <c r="K132" s="30"/>
      <c r="L132" s="30"/>
      <c r="M132" s="39" t="str">
        <f aca="false">IF(OR(E132="",G132=""),"",(G132-E132)/30.44)</f>
        <v/>
      </c>
      <c r="N132" s="46" t="str">
        <f aca="false">IF(OR(F132="",H132=""),"",H132-F132)</f>
        <v/>
      </c>
      <c r="O132" s="46" t="str">
        <f aca="false">IF(OR(F132="",D132="",D132=0),"",F132/D132)</f>
        <v/>
      </c>
      <c r="P132" s="46" t="str">
        <f aca="false">IF(OR(H132="",D132="",D132=0),"",H132/D132)</f>
        <v/>
      </c>
      <c r="Q132" s="46" t="str">
        <f aca="false">IF(H132="","",IF(I132&lt;&gt;"",I132,IF(D132="","",D132*$E$3)))</f>
        <v/>
      </c>
      <c r="R132" s="46" t="str">
        <f aca="false">IF(H132="","",H132*$E$4)</f>
        <v/>
      </c>
      <c r="S132" s="46" t="str">
        <f aca="false">IF(OR(F132="",H132="",Q132=""),"",H132-F132-Q132-R132)</f>
        <v/>
      </c>
      <c r="T132" s="24" t="str">
        <f aca="false">IF(OR(S132="",H132="",H132=0),"",S132/H132)</f>
        <v/>
      </c>
    </row>
    <row r="133" customFormat="false" ht="15" hidden="false" customHeight="false" outlineLevel="0" collapsed="false">
      <c r="A133" s="30"/>
      <c r="B133" s="30"/>
      <c r="C133" s="30"/>
      <c r="D133" s="27"/>
      <c r="E133" s="43"/>
      <c r="F133" s="41"/>
      <c r="G133" s="43"/>
      <c r="H133" s="41"/>
      <c r="I133" s="41"/>
      <c r="J133" s="30"/>
      <c r="K133" s="30"/>
      <c r="L133" s="30"/>
      <c r="M133" s="39" t="str">
        <f aca="false">IF(OR(E133="",G133=""),"",(G133-E133)/30.44)</f>
        <v/>
      </c>
      <c r="N133" s="46" t="str">
        <f aca="false">IF(OR(F133="",H133=""),"",H133-F133)</f>
        <v/>
      </c>
      <c r="O133" s="46" t="str">
        <f aca="false">IF(OR(F133="",D133="",D133=0),"",F133/D133)</f>
        <v/>
      </c>
      <c r="P133" s="46" t="str">
        <f aca="false">IF(OR(H133="",D133="",D133=0),"",H133/D133)</f>
        <v/>
      </c>
      <c r="Q133" s="46" t="str">
        <f aca="false">IF(H133="","",IF(I133&lt;&gt;"",I133,IF(D133="","",D133*$E$3)))</f>
        <v/>
      </c>
      <c r="R133" s="46" t="str">
        <f aca="false">IF(H133="","",H133*$E$4)</f>
        <v/>
      </c>
      <c r="S133" s="46" t="str">
        <f aca="false">IF(OR(F133="",H133="",Q133=""),"",H133-F133-Q133-R133)</f>
        <v/>
      </c>
      <c r="T133" s="24" t="str">
        <f aca="false">IF(OR(S133="",H133="",H133=0),"",S133/H133)</f>
        <v/>
      </c>
    </row>
    <row r="134" customFormat="false" ht="15" hidden="false" customHeight="false" outlineLevel="0" collapsed="false">
      <c r="A134" s="30"/>
      <c r="B134" s="30"/>
      <c r="C134" s="30"/>
      <c r="D134" s="27"/>
      <c r="E134" s="43"/>
      <c r="F134" s="41"/>
      <c r="G134" s="43"/>
      <c r="H134" s="41"/>
      <c r="I134" s="41"/>
      <c r="J134" s="30"/>
      <c r="K134" s="30"/>
      <c r="L134" s="30"/>
      <c r="M134" s="39" t="str">
        <f aca="false">IF(OR(E134="",G134=""),"",(G134-E134)/30.44)</f>
        <v/>
      </c>
      <c r="N134" s="46" t="str">
        <f aca="false">IF(OR(F134="",H134=""),"",H134-F134)</f>
        <v/>
      </c>
      <c r="O134" s="46" t="str">
        <f aca="false">IF(OR(F134="",D134="",D134=0),"",F134/D134)</f>
        <v/>
      </c>
      <c r="P134" s="46" t="str">
        <f aca="false">IF(OR(H134="",D134="",D134=0),"",H134/D134)</f>
        <v/>
      </c>
      <c r="Q134" s="46" t="str">
        <f aca="false">IF(H134="","",IF(I134&lt;&gt;"",I134,IF(D134="","",D134*$E$3)))</f>
        <v/>
      </c>
      <c r="R134" s="46" t="str">
        <f aca="false">IF(H134="","",H134*$E$4)</f>
        <v/>
      </c>
      <c r="S134" s="46" t="str">
        <f aca="false">IF(OR(F134="",H134="",Q134=""),"",H134-F134-Q134-R134)</f>
        <v/>
      </c>
      <c r="T134" s="24" t="str">
        <f aca="false">IF(OR(S134="",H134="",H134=0),"",S134/H134)</f>
        <v/>
      </c>
    </row>
    <row r="135" customFormat="false" ht="15" hidden="false" customHeight="false" outlineLevel="0" collapsed="false">
      <c r="A135" s="30"/>
      <c r="B135" s="30"/>
      <c r="C135" s="30"/>
      <c r="D135" s="27"/>
      <c r="E135" s="43"/>
      <c r="F135" s="41"/>
      <c r="G135" s="43"/>
      <c r="H135" s="41"/>
      <c r="I135" s="41"/>
      <c r="J135" s="30"/>
      <c r="K135" s="30"/>
      <c r="L135" s="30"/>
      <c r="M135" s="39" t="str">
        <f aca="false">IF(OR(E135="",G135=""),"",(G135-E135)/30.44)</f>
        <v/>
      </c>
      <c r="N135" s="46" t="str">
        <f aca="false">IF(OR(F135="",H135=""),"",H135-F135)</f>
        <v/>
      </c>
      <c r="O135" s="46" t="str">
        <f aca="false">IF(OR(F135="",D135="",D135=0),"",F135/D135)</f>
        <v/>
      </c>
      <c r="P135" s="46" t="str">
        <f aca="false">IF(OR(H135="",D135="",D135=0),"",H135/D135)</f>
        <v/>
      </c>
      <c r="Q135" s="46" t="str">
        <f aca="false">IF(H135="","",IF(I135&lt;&gt;"",I135,IF(D135="","",D135*$E$3)))</f>
        <v/>
      </c>
      <c r="R135" s="46" t="str">
        <f aca="false">IF(H135="","",H135*$E$4)</f>
        <v/>
      </c>
      <c r="S135" s="46" t="str">
        <f aca="false">IF(OR(F135="",H135="",Q135=""),"",H135-F135-Q135-R135)</f>
        <v/>
      </c>
      <c r="T135" s="24" t="str">
        <f aca="false">IF(OR(S135="",H135="",H135=0),"",S135/H135)</f>
        <v/>
      </c>
    </row>
    <row r="136" customFormat="false" ht="15" hidden="false" customHeight="false" outlineLevel="0" collapsed="false">
      <c r="A136" s="30"/>
      <c r="B136" s="30"/>
      <c r="C136" s="30"/>
      <c r="D136" s="27"/>
      <c r="E136" s="43"/>
      <c r="F136" s="41"/>
      <c r="G136" s="43"/>
      <c r="H136" s="41"/>
      <c r="I136" s="41"/>
      <c r="J136" s="30"/>
      <c r="K136" s="30"/>
      <c r="L136" s="30"/>
      <c r="M136" s="39" t="str">
        <f aca="false">IF(OR(E136="",G136=""),"",(G136-E136)/30.44)</f>
        <v/>
      </c>
      <c r="N136" s="46" t="str">
        <f aca="false">IF(OR(F136="",H136=""),"",H136-F136)</f>
        <v/>
      </c>
      <c r="O136" s="46" t="str">
        <f aca="false">IF(OR(F136="",D136="",D136=0),"",F136/D136)</f>
        <v/>
      </c>
      <c r="P136" s="46" t="str">
        <f aca="false">IF(OR(H136="",D136="",D136=0),"",H136/D136)</f>
        <v/>
      </c>
      <c r="Q136" s="46" t="str">
        <f aca="false">IF(H136="","",IF(I136&lt;&gt;"",I136,IF(D136="","",D136*$E$3)))</f>
        <v/>
      </c>
      <c r="R136" s="46" t="str">
        <f aca="false">IF(H136="","",H136*$E$4)</f>
        <v/>
      </c>
      <c r="S136" s="46" t="str">
        <f aca="false">IF(OR(F136="",H136="",Q136=""),"",H136-F136-Q136-R136)</f>
        <v/>
      </c>
      <c r="T136" s="24" t="str">
        <f aca="false">IF(OR(S136="",H136="",H136=0),"",S136/H136)</f>
        <v/>
      </c>
    </row>
    <row r="137" customFormat="false" ht="15" hidden="false" customHeight="false" outlineLevel="0" collapsed="false">
      <c r="A137" s="30"/>
      <c r="B137" s="30"/>
      <c r="C137" s="30"/>
      <c r="D137" s="27"/>
      <c r="E137" s="43"/>
      <c r="F137" s="41"/>
      <c r="G137" s="43"/>
      <c r="H137" s="41"/>
      <c r="I137" s="41"/>
      <c r="J137" s="30"/>
      <c r="K137" s="30"/>
      <c r="L137" s="30"/>
      <c r="M137" s="39" t="str">
        <f aca="false">IF(OR(E137="",G137=""),"",(G137-E137)/30.44)</f>
        <v/>
      </c>
      <c r="N137" s="46" t="str">
        <f aca="false">IF(OR(F137="",H137=""),"",H137-F137)</f>
        <v/>
      </c>
      <c r="O137" s="46" t="str">
        <f aca="false">IF(OR(F137="",D137="",D137=0),"",F137/D137)</f>
        <v/>
      </c>
      <c r="P137" s="46" t="str">
        <f aca="false">IF(OR(H137="",D137="",D137=0),"",H137/D137)</f>
        <v/>
      </c>
      <c r="Q137" s="46" t="str">
        <f aca="false">IF(H137="","",IF(I137&lt;&gt;"",I137,IF(D137="","",D137*$E$3)))</f>
        <v/>
      </c>
      <c r="R137" s="46" t="str">
        <f aca="false">IF(H137="","",H137*$E$4)</f>
        <v/>
      </c>
      <c r="S137" s="46" t="str">
        <f aca="false">IF(OR(F137="",H137="",Q137=""),"",H137-F137-Q137-R137)</f>
        <v/>
      </c>
      <c r="T137" s="24" t="str">
        <f aca="false">IF(OR(S137="",H137="",H137=0),"",S137/H137)</f>
        <v/>
      </c>
    </row>
    <row r="138" customFormat="false" ht="15" hidden="false" customHeight="false" outlineLevel="0" collapsed="false">
      <c r="A138" s="30"/>
      <c r="B138" s="30"/>
      <c r="C138" s="30"/>
      <c r="D138" s="27"/>
      <c r="E138" s="43"/>
      <c r="F138" s="41"/>
      <c r="G138" s="43"/>
      <c r="H138" s="41"/>
      <c r="I138" s="41"/>
      <c r="J138" s="30"/>
      <c r="K138" s="30"/>
      <c r="L138" s="30"/>
      <c r="M138" s="39" t="str">
        <f aca="false">IF(OR(E138="",G138=""),"",(G138-E138)/30.44)</f>
        <v/>
      </c>
      <c r="N138" s="46" t="str">
        <f aca="false">IF(OR(F138="",H138=""),"",H138-F138)</f>
        <v/>
      </c>
      <c r="O138" s="46" t="str">
        <f aca="false">IF(OR(F138="",D138="",D138=0),"",F138/D138)</f>
        <v/>
      </c>
      <c r="P138" s="46" t="str">
        <f aca="false">IF(OR(H138="",D138="",D138=0),"",H138/D138)</f>
        <v/>
      </c>
      <c r="Q138" s="46" t="str">
        <f aca="false">IF(H138="","",IF(I138&lt;&gt;"",I138,IF(D138="","",D138*$E$3)))</f>
        <v/>
      </c>
      <c r="R138" s="46" t="str">
        <f aca="false">IF(H138="","",H138*$E$4)</f>
        <v/>
      </c>
      <c r="S138" s="46" t="str">
        <f aca="false">IF(OR(F138="",H138="",Q138=""),"",H138-F138-Q138-R138)</f>
        <v/>
      </c>
      <c r="T138" s="24" t="str">
        <f aca="false">IF(OR(S138="",H138="",H138=0),"",S138/H138)</f>
        <v/>
      </c>
    </row>
    <row r="139" customFormat="false" ht="15" hidden="false" customHeight="false" outlineLevel="0" collapsed="false">
      <c r="A139" s="30"/>
      <c r="B139" s="30"/>
      <c r="C139" s="30"/>
      <c r="D139" s="27"/>
      <c r="E139" s="43"/>
      <c r="F139" s="41"/>
      <c r="G139" s="43"/>
      <c r="H139" s="41"/>
      <c r="I139" s="41"/>
      <c r="J139" s="30"/>
      <c r="K139" s="30"/>
      <c r="L139" s="30"/>
      <c r="M139" s="39" t="str">
        <f aca="false">IF(OR(E139="",G139=""),"",(G139-E139)/30.44)</f>
        <v/>
      </c>
      <c r="N139" s="46" t="str">
        <f aca="false">IF(OR(F139="",H139=""),"",H139-F139)</f>
        <v/>
      </c>
      <c r="O139" s="46" t="str">
        <f aca="false">IF(OR(F139="",D139="",D139=0),"",F139/D139)</f>
        <v/>
      </c>
      <c r="P139" s="46" t="str">
        <f aca="false">IF(OR(H139="",D139="",D139=0),"",H139/D139)</f>
        <v/>
      </c>
      <c r="Q139" s="46" t="str">
        <f aca="false">IF(H139="","",IF(I139&lt;&gt;"",I139,IF(D139="","",D139*$E$3)))</f>
        <v/>
      </c>
      <c r="R139" s="46" t="str">
        <f aca="false">IF(H139="","",H139*$E$4)</f>
        <v/>
      </c>
      <c r="S139" s="46" t="str">
        <f aca="false">IF(OR(F139="",H139="",Q139=""),"",H139-F139-Q139-R139)</f>
        <v/>
      </c>
      <c r="T139" s="24" t="str">
        <f aca="false">IF(OR(S139="",H139="",H139=0),"",S139/H139)</f>
        <v/>
      </c>
    </row>
    <row r="140" customFormat="false" ht="15" hidden="false" customHeight="false" outlineLevel="0" collapsed="false">
      <c r="A140" s="30"/>
      <c r="B140" s="30"/>
      <c r="C140" s="30"/>
      <c r="D140" s="27"/>
      <c r="E140" s="43"/>
      <c r="F140" s="41"/>
      <c r="G140" s="43"/>
      <c r="H140" s="41"/>
      <c r="I140" s="41"/>
      <c r="J140" s="30"/>
      <c r="K140" s="30"/>
      <c r="L140" s="30"/>
      <c r="M140" s="39" t="str">
        <f aca="false">IF(OR(E140="",G140=""),"",(G140-E140)/30.44)</f>
        <v/>
      </c>
      <c r="N140" s="46" t="str">
        <f aca="false">IF(OR(F140="",H140=""),"",H140-F140)</f>
        <v/>
      </c>
      <c r="O140" s="46" t="str">
        <f aca="false">IF(OR(F140="",D140="",D140=0),"",F140/D140)</f>
        <v/>
      </c>
      <c r="P140" s="46" t="str">
        <f aca="false">IF(OR(H140="",D140="",D140=0),"",H140/D140)</f>
        <v/>
      </c>
      <c r="Q140" s="46" t="str">
        <f aca="false">IF(H140="","",IF(I140&lt;&gt;"",I140,IF(D140="","",D140*$E$3)))</f>
        <v/>
      </c>
      <c r="R140" s="46" t="str">
        <f aca="false">IF(H140="","",H140*$E$4)</f>
        <v/>
      </c>
      <c r="S140" s="46" t="str">
        <f aca="false">IF(OR(F140="",H140="",Q140=""),"",H140-F140-Q140-R140)</f>
        <v/>
      </c>
      <c r="T140" s="24" t="str">
        <f aca="false">IF(OR(S140="",H140="",H140=0),"",S140/H140)</f>
        <v/>
      </c>
    </row>
    <row r="141" customFormat="false" ht="15" hidden="false" customHeight="false" outlineLevel="0" collapsed="false">
      <c r="A141" s="30"/>
      <c r="B141" s="30"/>
      <c r="C141" s="30"/>
      <c r="D141" s="27"/>
      <c r="E141" s="43"/>
      <c r="F141" s="41"/>
      <c r="G141" s="43"/>
      <c r="H141" s="41"/>
      <c r="I141" s="41"/>
      <c r="J141" s="30"/>
      <c r="K141" s="30"/>
      <c r="L141" s="30"/>
      <c r="M141" s="39" t="str">
        <f aca="false">IF(OR(E141="",G141=""),"",(G141-E141)/30.44)</f>
        <v/>
      </c>
      <c r="N141" s="46" t="str">
        <f aca="false">IF(OR(F141="",H141=""),"",H141-F141)</f>
        <v/>
      </c>
      <c r="O141" s="46" t="str">
        <f aca="false">IF(OR(F141="",D141="",D141=0),"",F141/D141)</f>
        <v/>
      </c>
      <c r="P141" s="46" t="str">
        <f aca="false">IF(OR(H141="",D141="",D141=0),"",H141/D141)</f>
        <v/>
      </c>
      <c r="Q141" s="46" t="str">
        <f aca="false">IF(H141="","",IF(I141&lt;&gt;"",I141,IF(D141="","",D141*$E$3)))</f>
        <v/>
      </c>
      <c r="R141" s="46" t="str">
        <f aca="false">IF(H141="","",H141*$E$4)</f>
        <v/>
      </c>
      <c r="S141" s="46" t="str">
        <f aca="false">IF(OR(F141="",H141="",Q141=""),"",H141-F141-Q141-R141)</f>
        <v/>
      </c>
      <c r="T141" s="24" t="str">
        <f aca="false">IF(OR(S141="",H141="",H141=0),"",S141/H141)</f>
        <v/>
      </c>
    </row>
    <row r="142" customFormat="false" ht="15" hidden="false" customHeight="false" outlineLevel="0" collapsed="false">
      <c r="A142" s="30"/>
      <c r="B142" s="30"/>
      <c r="C142" s="30"/>
      <c r="D142" s="27"/>
      <c r="E142" s="43"/>
      <c r="F142" s="41"/>
      <c r="G142" s="43"/>
      <c r="H142" s="41"/>
      <c r="I142" s="41"/>
      <c r="J142" s="30"/>
      <c r="K142" s="30"/>
      <c r="L142" s="30"/>
      <c r="M142" s="39" t="str">
        <f aca="false">IF(OR(E142="",G142=""),"",(G142-E142)/30.44)</f>
        <v/>
      </c>
      <c r="N142" s="46" t="str">
        <f aca="false">IF(OR(F142="",H142=""),"",H142-F142)</f>
        <v/>
      </c>
      <c r="O142" s="46" t="str">
        <f aca="false">IF(OR(F142="",D142="",D142=0),"",F142/D142)</f>
        <v/>
      </c>
      <c r="P142" s="46" t="str">
        <f aca="false">IF(OR(H142="",D142="",D142=0),"",H142/D142)</f>
        <v/>
      </c>
      <c r="Q142" s="46" t="str">
        <f aca="false">IF(H142="","",IF(I142&lt;&gt;"",I142,IF(D142="","",D142*$E$3)))</f>
        <v/>
      </c>
      <c r="R142" s="46" t="str">
        <f aca="false">IF(H142="","",H142*$E$4)</f>
        <v/>
      </c>
      <c r="S142" s="46" t="str">
        <f aca="false">IF(OR(F142="",H142="",Q142=""),"",H142-F142-Q142-R142)</f>
        <v/>
      </c>
      <c r="T142" s="24" t="str">
        <f aca="false">IF(OR(S142="",H142="",H142=0),"",S142/H142)</f>
        <v/>
      </c>
    </row>
    <row r="143" customFormat="false" ht="15" hidden="false" customHeight="false" outlineLevel="0" collapsed="false">
      <c r="A143" s="30"/>
      <c r="B143" s="30"/>
      <c r="C143" s="30"/>
      <c r="D143" s="27"/>
      <c r="E143" s="43"/>
      <c r="F143" s="41"/>
      <c r="G143" s="43"/>
      <c r="H143" s="41"/>
      <c r="I143" s="41"/>
      <c r="J143" s="30"/>
      <c r="K143" s="30"/>
      <c r="L143" s="30"/>
      <c r="M143" s="39" t="str">
        <f aca="false">IF(OR(E143="",G143=""),"",(G143-E143)/30.44)</f>
        <v/>
      </c>
      <c r="N143" s="46" t="str">
        <f aca="false">IF(OR(F143="",H143=""),"",H143-F143)</f>
        <v/>
      </c>
      <c r="O143" s="46" t="str">
        <f aca="false">IF(OR(F143="",D143="",D143=0),"",F143/D143)</f>
        <v/>
      </c>
      <c r="P143" s="46" t="str">
        <f aca="false">IF(OR(H143="",D143="",D143=0),"",H143/D143)</f>
        <v/>
      </c>
      <c r="Q143" s="46" t="str">
        <f aca="false">IF(H143="","",IF(I143&lt;&gt;"",I143,IF(D143="","",D143*$E$3)))</f>
        <v/>
      </c>
      <c r="R143" s="46" t="str">
        <f aca="false">IF(H143="","",H143*$E$4)</f>
        <v/>
      </c>
      <c r="S143" s="46" t="str">
        <f aca="false">IF(OR(F143="",H143="",Q143=""),"",H143-F143-Q143-R143)</f>
        <v/>
      </c>
      <c r="T143" s="24" t="str">
        <f aca="false">IF(OR(S143="",H143="",H143=0),"",S143/H143)</f>
        <v/>
      </c>
    </row>
    <row r="144" customFormat="false" ht="15" hidden="false" customHeight="false" outlineLevel="0" collapsed="false">
      <c r="A144" s="30"/>
      <c r="B144" s="30"/>
      <c r="C144" s="30"/>
      <c r="D144" s="27"/>
      <c r="E144" s="43"/>
      <c r="F144" s="41"/>
      <c r="G144" s="43"/>
      <c r="H144" s="41"/>
      <c r="I144" s="41"/>
      <c r="J144" s="30"/>
      <c r="K144" s="30"/>
      <c r="L144" s="30"/>
      <c r="M144" s="39" t="str">
        <f aca="false">IF(OR(E144="",G144=""),"",(G144-E144)/30.44)</f>
        <v/>
      </c>
      <c r="N144" s="46" t="str">
        <f aca="false">IF(OR(F144="",H144=""),"",H144-F144)</f>
        <v/>
      </c>
      <c r="O144" s="46" t="str">
        <f aca="false">IF(OR(F144="",D144="",D144=0),"",F144/D144)</f>
        <v/>
      </c>
      <c r="P144" s="46" t="str">
        <f aca="false">IF(OR(H144="",D144="",D144=0),"",H144/D144)</f>
        <v/>
      </c>
      <c r="Q144" s="46" t="str">
        <f aca="false">IF(H144="","",IF(I144&lt;&gt;"",I144,IF(D144="","",D144*$E$3)))</f>
        <v/>
      </c>
      <c r="R144" s="46" t="str">
        <f aca="false">IF(H144="","",H144*$E$4)</f>
        <v/>
      </c>
      <c r="S144" s="46" t="str">
        <f aca="false">IF(OR(F144="",H144="",Q144=""),"",H144-F144-Q144-R144)</f>
        <v/>
      </c>
      <c r="T144" s="24" t="str">
        <f aca="false">IF(OR(S144="",H144="",H144=0),"",S144/H144)</f>
        <v/>
      </c>
    </row>
    <row r="145" customFormat="false" ht="15" hidden="false" customHeight="false" outlineLevel="0" collapsed="false">
      <c r="A145" s="30"/>
      <c r="B145" s="30"/>
      <c r="C145" s="30"/>
      <c r="D145" s="27"/>
      <c r="E145" s="43"/>
      <c r="F145" s="41"/>
      <c r="G145" s="43"/>
      <c r="H145" s="41"/>
      <c r="I145" s="41"/>
      <c r="J145" s="30"/>
      <c r="K145" s="30"/>
      <c r="L145" s="30"/>
      <c r="M145" s="39" t="str">
        <f aca="false">IF(OR(E145="",G145=""),"",(G145-E145)/30.44)</f>
        <v/>
      </c>
      <c r="N145" s="46" t="str">
        <f aca="false">IF(OR(F145="",H145=""),"",H145-F145)</f>
        <v/>
      </c>
      <c r="O145" s="46" t="str">
        <f aca="false">IF(OR(F145="",D145="",D145=0),"",F145/D145)</f>
        <v/>
      </c>
      <c r="P145" s="46" t="str">
        <f aca="false">IF(OR(H145="",D145="",D145=0),"",H145/D145)</f>
        <v/>
      </c>
      <c r="Q145" s="46" t="str">
        <f aca="false">IF(H145="","",IF(I145&lt;&gt;"",I145,IF(D145="","",D145*$E$3)))</f>
        <v/>
      </c>
      <c r="R145" s="46" t="str">
        <f aca="false">IF(H145="","",H145*$E$4)</f>
        <v/>
      </c>
      <c r="S145" s="46" t="str">
        <f aca="false">IF(OR(F145="",H145="",Q145=""),"",H145-F145-Q145-R145)</f>
        <v/>
      </c>
      <c r="T145" s="24" t="str">
        <f aca="false">IF(OR(S145="",H145="",H145=0),"",S145/H145)</f>
        <v/>
      </c>
    </row>
    <row r="146" customFormat="false" ht="15" hidden="false" customHeight="false" outlineLevel="0" collapsed="false">
      <c r="A146" s="30"/>
      <c r="B146" s="30"/>
      <c r="C146" s="30"/>
      <c r="D146" s="27"/>
      <c r="E146" s="43"/>
      <c r="F146" s="41"/>
      <c r="G146" s="43"/>
      <c r="H146" s="41"/>
      <c r="I146" s="41"/>
      <c r="J146" s="30"/>
      <c r="K146" s="30"/>
      <c r="L146" s="30"/>
      <c r="M146" s="39" t="str">
        <f aca="false">IF(OR(E146="",G146=""),"",(G146-E146)/30.44)</f>
        <v/>
      </c>
      <c r="N146" s="46" t="str">
        <f aca="false">IF(OR(F146="",H146=""),"",H146-F146)</f>
        <v/>
      </c>
      <c r="O146" s="46" t="str">
        <f aca="false">IF(OR(F146="",D146="",D146=0),"",F146/D146)</f>
        <v/>
      </c>
      <c r="P146" s="46" t="str">
        <f aca="false">IF(OR(H146="",D146="",D146=0),"",H146/D146)</f>
        <v/>
      </c>
      <c r="Q146" s="46" t="str">
        <f aca="false">IF(H146="","",IF(I146&lt;&gt;"",I146,IF(D146="","",D146*$E$3)))</f>
        <v/>
      </c>
      <c r="R146" s="46" t="str">
        <f aca="false">IF(H146="","",H146*$E$4)</f>
        <v/>
      </c>
      <c r="S146" s="46" t="str">
        <f aca="false">IF(OR(F146="",H146="",Q146=""),"",H146-F146-Q146-R146)</f>
        <v/>
      </c>
      <c r="T146" s="24" t="str">
        <f aca="false">IF(OR(S146="",H146="",H146=0),"",S146/H146)</f>
        <v/>
      </c>
    </row>
    <row r="147" customFormat="false" ht="15" hidden="false" customHeight="false" outlineLevel="0" collapsed="false">
      <c r="A147" s="30"/>
      <c r="B147" s="30"/>
      <c r="C147" s="30"/>
      <c r="D147" s="27"/>
      <c r="E147" s="43"/>
      <c r="F147" s="41"/>
      <c r="G147" s="43"/>
      <c r="H147" s="41"/>
      <c r="I147" s="41"/>
      <c r="J147" s="30"/>
      <c r="K147" s="30"/>
      <c r="L147" s="30"/>
      <c r="M147" s="39" t="str">
        <f aca="false">IF(OR(E147="",G147=""),"",(G147-E147)/30.44)</f>
        <v/>
      </c>
      <c r="N147" s="46" t="str">
        <f aca="false">IF(OR(F147="",H147=""),"",H147-F147)</f>
        <v/>
      </c>
      <c r="O147" s="46" t="str">
        <f aca="false">IF(OR(F147="",D147="",D147=0),"",F147/D147)</f>
        <v/>
      </c>
      <c r="P147" s="46" t="str">
        <f aca="false">IF(OR(H147="",D147="",D147=0),"",H147/D147)</f>
        <v/>
      </c>
      <c r="Q147" s="46" t="str">
        <f aca="false">IF(H147="","",IF(I147&lt;&gt;"",I147,IF(D147="","",D147*$E$3)))</f>
        <v/>
      </c>
      <c r="R147" s="46" t="str">
        <f aca="false">IF(H147="","",H147*$E$4)</f>
        <v/>
      </c>
      <c r="S147" s="46" t="str">
        <f aca="false">IF(OR(F147="",H147="",Q147=""),"",H147-F147-Q147-R147)</f>
        <v/>
      </c>
      <c r="T147" s="24" t="str">
        <f aca="false">IF(OR(S147="",H147="",H147=0),"",S147/H147)</f>
        <v/>
      </c>
    </row>
    <row r="148" customFormat="false" ht="15" hidden="false" customHeight="false" outlineLevel="0" collapsed="false">
      <c r="A148" s="30"/>
      <c r="B148" s="30"/>
      <c r="C148" s="30"/>
      <c r="D148" s="27"/>
      <c r="E148" s="43"/>
      <c r="F148" s="41"/>
      <c r="G148" s="43"/>
      <c r="H148" s="41"/>
      <c r="I148" s="41"/>
      <c r="J148" s="30"/>
      <c r="K148" s="30"/>
      <c r="L148" s="30"/>
      <c r="M148" s="39" t="str">
        <f aca="false">IF(OR(E148="",G148=""),"",(G148-E148)/30.44)</f>
        <v/>
      </c>
      <c r="N148" s="46" t="str">
        <f aca="false">IF(OR(F148="",H148=""),"",H148-F148)</f>
        <v/>
      </c>
      <c r="O148" s="46" t="str">
        <f aca="false">IF(OR(F148="",D148="",D148=0),"",F148/D148)</f>
        <v/>
      </c>
      <c r="P148" s="46" t="str">
        <f aca="false">IF(OR(H148="",D148="",D148=0),"",H148/D148)</f>
        <v/>
      </c>
      <c r="Q148" s="46" t="str">
        <f aca="false">IF(H148="","",IF(I148&lt;&gt;"",I148,IF(D148="","",D148*$E$3)))</f>
        <v/>
      </c>
      <c r="R148" s="46" t="str">
        <f aca="false">IF(H148="","",H148*$E$4)</f>
        <v/>
      </c>
      <c r="S148" s="46" t="str">
        <f aca="false">IF(OR(F148="",H148="",Q148=""),"",H148-F148-Q148-R148)</f>
        <v/>
      </c>
      <c r="T148" s="24" t="str">
        <f aca="false">IF(OR(S148="",H148="",H148=0),"",S148/H148)</f>
        <v/>
      </c>
    </row>
    <row r="149" customFormat="false" ht="15" hidden="false" customHeight="false" outlineLevel="0" collapsed="false">
      <c r="A149" s="30"/>
      <c r="B149" s="30"/>
      <c r="C149" s="30"/>
      <c r="D149" s="27"/>
      <c r="E149" s="43"/>
      <c r="F149" s="41"/>
      <c r="G149" s="43"/>
      <c r="H149" s="41"/>
      <c r="I149" s="41"/>
      <c r="J149" s="30"/>
      <c r="K149" s="30"/>
      <c r="L149" s="30"/>
      <c r="M149" s="39" t="str">
        <f aca="false">IF(OR(E149="",G149=""),"",(G149-E149)/30.44)</f>
        <v/>
      </c>
      <c r="N149" s="46" t="str">
        <f aca="false">IF(OR(F149="",H149=""),"",H149-F149)</f>
        <v/>
      </c>
      <c r="O149" s="46" t="str">
        <f aca="false">IF(OR(F149="",D149="",D149=0),"",F149/D149)</f>
        <v/>
      </c>
      <c r="P149" s="46" t="str">
        <f aca="false">IF(OR(H149="",D149="",D149=0),"",H149/D149)</f>
        <v/>
      </c>
      <c r="Q149" s="46" t="str">
        <f aca="false">IF(H149="","",IF(I149&lt;&gt;"",I149,IF(D149="","",D149*$E$3)))</f>
        <v/>
      </c>
      <c r="R149" s="46" t="str">
        <f aca="false">IF(H149="","",H149*$E$4)</f>
        <v/>
      </c>
      <c r="S149" s="46" t="str">
        <f aca="false">IF(OR(F149="",H149="",Q149=""),"",H149-F149-Q149-R149)</f>
        <v/>
      </c>
      <c r="T149" s="24" t="str">
        <f aca="false">IF(OR(S149="",H149="",H149=0),"",S149/H149)</f>
        <v/>
      </c>
    </row>
    <row r="150" customFormat="false" ht="15" hidden="false" customHeight="false" outlineLevel="0" collapsed="false">
      <c r="A150" s="30"/>
      <c r="B150" s="30"/>
      <c r="C150" s="30"/>
      <c r="D150" s="27"/>
      <c r="E150" s="43"/>
      <c r="F150" s="41"/>
      <c r="G150" s="43"/>
      <c r="H150" s="41"/>
      <c r="I150" s="41"/>
      <c r="J150" s="30"/>
      <c r="K150" s="30"/>
      <c r="L150" s="30"/>
      <c r="M150" s="39" t="str">
        <f aca="false">IF(OR(E150="",G150=""),"",(G150-E150)/30.44)</f>
        <v/>
      </c>
      <c r="N150" s="46" t="str">
        <f aca="false">IF(OR(F150="",H150=""),"",H150-F150)</f>
        <v/>
      </c>
      <c r="O150" s="46" t="str">
        <f aca="false">IF(OR(F150="",D150="",D150=0),"",F150/D150)</f>
        <v/>
      </c>
      <c r="P150" s="46" t="str">
        <f aca="false">IF(OR(H150="",D150="",D150=0),"",H150/D150)</f>
        <v/>
      </c>
      <c r="Q150" s="46" t="str">
        <f aca="false">IF(H150="","",IF(I150&lt;&gt;"",I150,IF(D150="","",D150*$E$3)))</f>
        <v/>
      </c>
      <c r="R150" s="46" t="str">
        <f aca="false">IF(H150="","",H150*$E$4)</f>
        <v/>
      </c>
      <c r="S150" s="46" t="str">
        <f aca="false">IF(OR(F150="",H150="",Q150=""),"",H150-F150-Q150-R150)</f>
        <v/>
      </c>
      <c r="T150" s="24" t="str">
        <f aca="false">IF(OR(S150="",H150="",H150=0),"",S150/H150)</f>
        <v/>
      </c>
    </row>
    <row r="151" customFormat="false" ht="15" hidden="false" customHeight="false" outlineLevel="0" collapsed="false">
      <c r="A151" s="30"/>
      <c r="B151" s="30"/>
      <c r="C151" s="30"/>
      <c r="D151" s="27"/>
      <c r="E151" s="43"/>
      <c r="F151" s="41"/>
      <c r="G151" s="43"/>
      <c r="H151" s="41"/>
      <c r="I151" s="41"/>
      <c r="J151" s="30"/>
      <c r="K151" s="30"/>
      <c r="L151" s="30"/>
      <c r="M151" s="39" t="str">
        <f aca="false">IF(OR(E151="",G151=""),"",(G151-E151)/30.44)</f>
        <v/>
      </c>
      <c r="N151" s="46" t="str">
        <f aca="false">IF(OR(F151="",H151=""),"",H151-F151)</f>
        <v/>
      </c>
      <c r="O151" s="46" t="str">
        <f aca="false">IF(OR(F151="",D151="",D151=0),"",F151/D151)</f>
        <v/>
      </c>
      <c r="P151" s="46" t="str">
        <f aca="false">IF(OR(H151="",D151="",D151=0),"",H151/D151)</f>
        <v/>
      </c>
      <c r="Q151" s="46" t="str">
        <f aca="false">IF(H151="","",IF(I151&lt;&gt;"",I151,IF(D151="","",D151*$E$3)))</f>
        <v/>
      </c>
      <c r="R151" s="46" t="str">
        <f aca="false">IF(H151="","",H151*$E$4)</f>
        <v/>
      </c>
      <c r="S151" s="46" t="str">
        <f aca="false">IF(OR(F151="",H151="",Q151=""),"",H151-F151-Q151-R151)</f>
        <v/>
      </c>
      <c r="T151" s="24" t="str">
        <f aca="false">IF(OR(S151="",H151="",H151=0),"",S151/H151)</f>
        <v/>
      </c>
    </row>
    <row r="152" customFormat="false" ht="15" hidden="false" customHeight="false" outlineLevel="0" collapsed="false">
      <c r="A152" s="30"/>
      <c r="B152" s="30"/>
      <c r="C152" s="30"/>
      <c r="D152" s="27"/>
      <c r="E152" s="43"/>
      <c r="F152" s="41"/>
      <c r="G152" s="43"/>
      <c r="H152" s="41"/>
      <c r="I152" s="41"/>
      <c r="J152" s="30"/>
      <c r="K152" s="30"/>
      <c r="L152" s="30"/>
      <c r="M152" s="39" t="str">
        <f aca="false">IF(OR(E152="",G152=""),"",(G152-E152)/30.44)</f>
        <v/>
      </c>
      <c r="N152" s="46" t="str">
        <f aca="false">IF(OR(F152="",H152=""),"",H152-F152)</f>
        <v/>
      </c>
      <c r="O152" s="46" t="str">
        <f aca="false">IF(OR(F152="",D152="",D152=0),"",F152/D152)</f>
        <v/>
      </c>
      <c r="P152" s="46" t="str">
        <f aca="false">IF(OR(H152="",D152="",D152=0),"",H152/D152)</f>
        <v/>
      </c>
      <c r="Q152" s="46" t="str">
        <f aca="false">IF(H152="","",IF(I152&lt;&gt;"",I152,IF(D152="","",D152*$E$3)))</f>
        <v/>
      </c>
      <c r="R152" s="46" t="str">
        <f aca="false">IF(H152="","",H152*$E$4)</f>
        <v/>
      </c>
      <c r="S152" s="46" t="str">
        <f aca="false">IF(OR(F152="",H152="",Q152=""),"",H152-F152-Q152-R152)</f>
        <v/>
      </c>
      <c r="T152" s="24" t="str">
        <f aca="false">IF(OR(S152="",H152="",H152=0),"",S152/H152)</f>
        <v/>
      </c>
    </row>
    <row r="153" customFormat="false" ht="15" hidden="false" customHeight="false" outlineLevel="0" collapsed="false">
      <c r="A153" s="30"/>
      <c r="B153" s="30"/>
      <c r="C153" s="30"/>
      <c r="D153" s="27"/>
      <c r="E153" s="43"/>
      <c r="F153" s="41"/>
      <c r="G153" s="43"/>
      <c r="H153" s="41"/>
      <c r="I153" s="41"/>
      <c r="J153" s="30"/>
      <c r="K153" s="30"/>
      <c r="L153" s="30"/>
      <c r="M153" s="39" t="str">
        <f aca="false">IF(OR(E153="",G153=""),"",(G153-E153)/30.44)</f>
        <v/>
      </c>
      <c r="N153" s="46" t="str">
        <f aca="false">IF(OR(F153="",H153=""),"",H153-F153)</f>
        <v/>
      </c>
      <c r="O153" s="46" t="str">
        <f aca="false">IF(OR(F153="",D153="",D153=0),"",F153/D153)</f>
        <v/>
      </c>
      <c r="P153" s="46" t="str">
        <f aca="false">IF(OR(H153="",D153="",D153=0),"",H153/D153)</f>
        <v/>
      </c>
      <c r="Q153" s="46" t="str">
        <f aca="false">IF(H153="","",IF(I153&lt;&gt;"",I153,IF(D153="","",D153*$E$3)))</f>
        <v/>
      </c>
      <c r="R153" s="46" t="str">
        <f aca="false">IF(H153="","",H153*$E$4)</f>
        <v/>
      </c>
      <c r="S153" s="46" t="str">
        <f aca="false">IF(OR(F153="",H153="",Q153=""),"",H153-F153-Q153-R153)</f>
        <v/>
      </c>
      <c r="T153" s="24" t="str">
        <f aca="false">IF(OR(S153="",H153="",H153=0),"",S153/H153)</f>
        <v/>
      </c>
    </row>
    <row r="154" customFormat="false" ht="15" hidden="false" customHeight="false" outlineLevel="0" collapsed="false">
      <c r="A154" s="30"/>
      <c r="B154" s="30"/>
      <c r="C154" s="30"/>
      <c r="D154" s="27"/>
      <c r="E154" s="43"/>
      <c r="F154" s="41"/>
      <c r="G154" s="43"/>
      <c r="H154" s="41"/>
      <c r="I154" s="41"/>
      <c r="J154" s="30"/>
      <c r="K154" s="30"/>
      <c r="L154" s="30"/>
      <c r="M154" s="39" t="str">
        <f aca="false">IF(OR(E154="",G154=""),"",(G154-E154)/30.44)</f>
        <v/>
      </c>
      <c r="N154" s="46" t="str">
        <f aca="false">IF(OR(F154="",H154=""),"",H154-F154)</f>
        <v/>
      </c>
      <c r="O154" s="46" t="str">
        <f aca="false">IF(OR(F154="",D154="",D154=0),"",F154/D154)</f>
        <v/>
      </c>
      <c r="P154" s="46" t="str">
        <f aca="false">IF(OR(H154="",D154="",D154=0),"",H154/D154)</f>
        <v/>
      </c>
      <c r="Q154" s="46" t="str">
        <f aca="false">IF(H154="","",IF(I154&lt;&gt;"",I154,IF(D154="","",D154*$E$3)))</f>
        <v/>
      </c>
      <c r="R154" s="46" t="str">
        <f aca="false">IF(H154="","",H154*$E$4)</f>
        <v/>
      </c>
      <c r="S154" s="46" t="str">
        <f aca="false">IF(OR(F154="",H154="",Q154=""),"",H154-F154-Q154-R154)</f>
        <v/>
      </c>
      <c r="T154" s="24" t="str">
        <f aca="false">IF(OR(S154="",H154="",H154=0),"",S154/H154)</f>
        <v/>
      </c>
    </row>
    <row r="155" customFormat="false" ht="15" hidden="false" customHeight="false" outlineLevel="0" collapsed="false">
      <c r="A155" s="30"/>
      <c r="B155" s="30"/>
      <c r="C155" s="30"/>
      <c r="D155" s="27"/>
      <c r="E155" s="43"/>
      <c r="F155" s="41"/>
      <c r="G155" s="43"/>
      <c r="H155" s="41"/>
      <c r="I155" s="41"/>
      <c r="J155" s="30"/>
      <c r="K155" s="30"/>
      <c r="L155" s="30"/>
      <c r="M155" s="39" t="str">
        <f aca="false">IF(OR(E155="",G155=""),"",(G155-E155)/30.44)</f>
        <v/>
      </c>
      <c r="N155" s="46" t="str">
        <f aca="false">IF(OR(F155="",H155=""),"",H155-F155)</f>
        <v/>
      </c>
      <c r="O155" s="46" t="str">
        <f aca="false">IF(OR(F155="",D155="",D155=0),"",F155/D155)</f>
        <v/>
      </c>
      <c r="P155" s="46" t="str">
        <f aca="false">IF(OR(H155="",D155="",D155=0),"",H155/D155)</f>
        <v/>
      </c>
      <c r="Q155" s="46" t="str">
        <f aca="false">IF(H155="","",IF(I155&lt;&gt;"",I155,IF(D155="","",D155*$E$3)))</f>
        <v/>
      </c>
      <c r="R155" s="46" t="str">
        <f aca="false">IF(H155="","",H155*$E$4)</f>
        <v/>
      </c>
      <c r="S155" s="46" t="str">
        <f aca="false">IF(OR(F155="",H155="",Q155=""),"",H155-F155-Q155-R155)</f>
        <v/>
      </c>
      <c r="T155" s="24" t="str">
        <f aca="false">IF(OR(S155="",H155="",H155=0),"",S155/H155)</f>
        <v/>
      </c>
    </row>
    <row r="156" customFormat="false" ht="15" hidden="false" customHeight="false" outlineLevel="0" collapsed="false">
      <c r="A156" s="30"/>
      <c r="B156" s="30"/>
      <c r="C156" s="30"/>
      <c r="D156" s="27"/>
      <c r="E156" s="43"/>
      <c r="F156" s="41"/>
      <c r="G156" s="43"/>
      <c r="H156" s="41"/>
      <c r="I156" s="41"/>
      <c r="J156" s="30"/>
      <c r="K156" s="30"/>
      <c r="L156" s="30"/>
      <c r="M156" s="39" t="str">
        <f aca="false">IF(OR(E156="",G156=""),"",(G156-E156)/30.44)</f>
        <v/>
      </c>
      <c r="N156" s="46" t="str">
        <f aca="false">IF(OR(F156="",H156=""),"",H156-F156)</f>
        <v/>
      </c>
      <c r="O156" s="46" t="str">
        <f aca="false">IF(OR(F156="",D156="",D156=0),"",F156/D156)</f>
        <v/>
      </c>
      <c r="P156" s="46" t="str">
        <f aca="false">IF(OR(H156="",D156="",D156=0),"",H156/D156)</f>
        <v/>
      </c>
      <c r="Q156" s="46" t="str">
        <f aca="false">IF(H156="","",IF(I156&lt;&gt;"",I156,IF(D156="","",D156*$E$3)))</f>
        <v/>
      </c>
      <c r="R156" s="46" t="str">
        <f aca="false">IF(H156="","",H156*$E$4)</f>
        <v/>
      </c>
      <c r="S156" s="46" t="str">
        <f aca="false">IF(OR(F156="",H156="",Q156=""),"",H156-F156-Q156-R156)</f>
        <v/>
      </c>
      <c r="T156" s="24" t="str">
        <f aca="false">IF(OR(S156="",H156="",H156=0),"",S156/H156)</f>
        <v/>
      </c>
    </row>
    <row r="157" customFormat="false" ht="15" hidden="false" customHeight="false" outlineLevel="0" collapsed="false">
      <c r="A157" s="30"/>
      <c r="B157" s="30"/>
      <c r="C157" s="30"/>
      <c r="D157" s="27"/>
      <c r="E157" s="43"/>
      <c r="F157" s="41"/>
      <c r="G157" s="43"/>
      <c r="H157" s="41"/>
      <c r="I157" s="41"/>
      <c r="J157" s="30"/>
      <c r="K157" s="30"/>
      <c r="L157" s="30"/>
      <c r="M157" s="39" t="str">
        <f aca="false">IF(OR(E157="",G157=""),"",(G157-E157)/30.44)</f>
        <v/>
      </c>
      <c r="N157" s="46" t="str">
        <f aca="false">IF(OR(F157="",H157=""),"",H157-F157)</f>
        <v/>
      </c>
      <c r="O157" s="46" t="str">
        <f aca="false">IF(OR(F157="",D157="",D157=0),"",F157/D157)</f>
        <v/>
      </c>
      <c r="P157" s="46" t="str">
        <f aca="false">IF(OR(H157="",D157="",D157=0),"",H157/D157)</f>
        <v/>
      </c>
      <c r="Q157" s="46" t="str">
        <f aca="false">IF(H157="","",IF(I157&lt;&gt;"",I157,IF(D157="","",D157*$E$3)))</f>
        <v/>
      </c>
      <c r="R157" s="46" t="str">
        <f aca="false">IF(H157="","",H157*$E$4)</f>
        <v/>
      </c>
      <c r="S157" s="46" t="str">
        <f aca="false">IF(OR(F157="",H157="",Q157=""),"",H157-F157-Q157-R157)</f>
        <v/>
      </c>
      <c r="T157" s="24" t="str">
        <f aca="false">IF(OR(S157="",H157="",H157=0),"",S157/H157)</f>
        <v/>
      </c>
    </row>
    <row r="158" customFormat="false" ht="15" hidden="false" customHeight="false" outlineLevel="0" collapsed="false">
      <c r="A158" s="30"/>
      <c r="B158" s="30"/>
      <c r="C158" s="30"/>
      <c r="D158" s="27"/>
      <c r="E158" s="43"/>
      <c r="F158" s="41"/>
      <c r="G158" s="43"/>
      <c r="H158" s="41"/>
      <c r="I158" s="41"/>
      <c r="J158" s="30"/>
      <c r="K158" s="30"/>
      <c r="L158" s="30"/>
      <c r="M158" s="39" t="str">
        <f aca="false">IF(OR(E158="",G158=""),"",(G158-E158)/30.44)</f>
        <v/>
      </c>
      <c r="N158" s="46" t="str">
        <f aca="false">IF(OR(F158="",H158=""),"",H158-F158)</f>
        <v/>
      </c>
      <c r="O158" s="46" t="str">
        <f aca="false">IF(OR(F158="",D158="",D158=0),"",F158/D158)</f>
        <v/>
      </c>
      <c r="P158" s="46" t="str">
        <f aca="false">IF(OR(H158="",D158="",D158=0),"",H158/D158)</f>
        <v/>
      </c>
      <c r="Q158" s="46" t="str">
        <f aca="false">IF(H158="","",IF(I158&lt;&gt;"",I158,IF(D158="","",D158*$E$3)))</f>
        <v/>
      </c>
      <c r="R158" s="46" t="str">
        <f aca="false">IF(H158="","",H158*$E$4)</f>
        <v/>
      </c>
      <c r="S158" s="46" t="str">
        <f aca="false">IF(OR(F158="",H158="",Q158=""),"",H158-F158-Q158-R158)</f>
        <v/>
      </c>
      <c r="T158" s="24" t="str">
        <f aca="false">IF(OR(S158="",H158="",H158=0),"",S158/H158)</f>
        <v/>
      </c>
    </row>
    <row r="159" customFormat="false" ht="15" hidden="false" customHeight="false" outlineLevel="0" collapsed="false">
      <c r="A159" s="30"/>
      <c r="B159" s="30"/>
      <c r="C159" s="30"/>
      <c r="D159" s="27"/>
      <c r="E159" s="43"/>
      <c r="F159" s="41"/>
      <c r="G159" s="43"/>
      <c r="H159" s="41"/>
      <c r="I159" s="41"/>
      <c r="J159" s="30"/>
      <c r="K159" s="30"/>
      <c r="L159" s="30"/>
      <c r="M159" s="39" t="str">
        <f aca="false">IF(OR(E159="",G159=""),"",(G159-E159)/30.44)</f>
        <v/>
      </c>
      <c r="N159" s="46" t="str">
        <f aca="false">IF(OR(F159="",H159=""),"",H159-F159)</f>
        <v/>
      </c>
      <c r="O159" s="46" t="str">
        <f aca="false">IF(OR(F159="",D159="",D159=0),"",F159/D159)</f>
        <v/>
      </c>
      <c r="P159" s="46" t="str">
        <f aca="false">IF(OR(H159="",D159="",D159=0),"",H159/D159)</f>
        <v/>
      </c>
      <c r="Q159" s="46" t="str">
        <f aca="false">IF(H159="","",IF(I159&lt;&gt;"",I159,IF(D159="","",D159*$E$3)))</f>
        <v/>
      </c>
      <c r="R159" s="46" t="str">
        <f aca="false">IF(H159="","",H159*$E$4)</f>
        <v/>
      </c>
      <c r="S159" s="46" t="str">
        <f aca="false">IF(OR(F159="",H159="",Q159=""),"",H159-F159-Q159-R159)</f>
        <v/>
      </c>
      <c r="T159" s="24" t="str">
        <f aca="false">IF(OR(S159="",H159="",H159=0),"",S159/H159)</f>
        <v/>
      </c>
    </row>
    <row r="160" customFormat="false" ht="15" hidden="false" customHeight="false" outlineLevel="0" collapsed="false">
      <c r="A160" s="30"/>
      <c r="B160" s="30"/>
      <c r="C160" s="30"/>
      <c r="D160" s="27"/>
      <c r="E160" s="43"/>
      <c r="F160" s="41"/>
      <c r="G160" s="43"/>
      <c r="H160" s="41"/>
      <c r="I160" s="41"/>
      <c r="J160" s="30"/>
      <c r="K160" s="30"/>
      <c r="L160" s="30"/>
      <c r="M160" s="39" t="str">
        <f aca="false">IF(OR(E160="",G160=""),"",(G160-E160)/30.44)</f>
        <v/>
      </c>
      <c r="N160" s="46" t="str">
        <f aca="false">IF(OR(F160="",H160=""),"",H160-F160)</f>
        <v/>
      </c>
      <c r="O160" s="46" t="str">
        <f aca="false">IF(OR(F160="",D160="",D160=0),"",F160/D160)</f>
        <v/>
      </c>
      <c r="P160" s="46" t="str">
        <f aca="false">IF(OR(H160="",D160="",D160=0),"",H160/D160)</f>
        <v/>
      </c>
      <c r="Q160" s="46" t="str">
        <f aca="false">IF(H160="","",IF(I160&lt;&gt;"",I160,IF(D160="","",D160*$E$3)))</f>
        <v/>
      </c>
      <c r="R160" s="46" t="str">
        <f aca="false">IF(H160="","",H160*$E$4)</f>
        <v/>
      </c>
      <c r="S160" s="46" t="str">
        <f aca="false">IF(OR(F160="",H160="",Q160=""),"",H160-F160-Q160-R160)</f>
        <v/>
      </c>
      <c r="T160" s="24" t="str">
        <f aca="false">IF(OR(S160="",H160="",H160=0),"",S160/H160)</f>
        <v/>
      </c>
    </row>
    <row r="161" customFormat="false" ht="15" hidden="false" customHeight="false" outlineLevel="0" collapsed="false">
      <c r="A161" s="30"/>
      <c r="B161" s="30"/>
      <c r="C161" s="30"/>
      <c r="D161" s="27"/>
      <c r="E161" s="43"/>
      <c r="F161" s="41"/>
      <c r="G161" s="43"/>
      <c r="H161" s="41"/>
      <c r="I161" s="41"/>
      <c r="J161" s="30"/>
      <c r="K161" s="30"/>
      <c r="L161" s="30"/>
      <c r="M161" s="39" t="str">
        <f aca="false">IF(OR(E161="",G161=""),"",(G161-E161)/30.44)</f>
        <v/>
      </c>
      <c r="N161" s="46" t="str">
        <f aca="false">IF(OR(F161="",H161=""),"",H161-F161)</f>
        <v/>
      </c>
      <c r="O161" s="46" t="str">
        <f aca="false">IF(OR(F161="",D161="",D161=0),"",F161/D161)</f>
        <v/>
      </c>
      <c r="P161" s="46" t="str">
        <f aca="false">IF(OR(H161="",D161="",D161=0),"",H161/D161)</f>
        <v/>
      </c>
      <c r="Q161" s="46" t="str">
        <f aca="false">IF(H161="","",IF(I161&lt;&gt;"",I161,IF(D161="","",D161*$E$3)))</f>
        <v/>
      </c>
      <c r="R161" s="46" t="str">
        <f aca="false">IF(H161="","",H161*$E$4)</f>
        <v/>
      </c>
      <c r="S161" s="46" t="str">
        <f aca="false">IF(OR(F161="",H161="",Q161=""),"",H161-F161-Q161-R161)</f>
        <v/>
      </c>
      <c r="T161" s="24" t="str">
        <f aca="false">IF(OR(S161="",H161="",H161=0),"",S161/H161)</f>
        <v/>
      </c>
    </row>
    <row r="162" customFormat="false" ht="15" hidden="false" customHeight="false" outlineLevel="0" collapsed="false">
      <c r="A162" s="30"/>
      <c r="B162" s="30"/>
      <c r="C162" s="30"/>
      <c r="D162" s="27"/>
      <c r="E162" s="43"/>
      <c r="F162" s="41"/>
      <c r="G162" s="43"/>
      <c r="H162" s="41"/>
      <c r="I162" s="41"/>
      <c r="J162" s="30"/>
      <c r="K162" s="30"/>
      <c r="L162" s="30"/>
      <c r="M162" s="39" t="str">
        <f aca="false">IF(OR(E162="",G162=""),"",(G162-E162)/30.44)</f>
        <v/>
      </c>
      <c r="N162" s="46" t="str">
        <f aca="false">IF(OR(F162="",H162=""),"",H162-F162)</f>
        <v/>
      </c>
      <c r="O162" s="46" t="str">
        <f aca="false">IF(OR(F162="",D162="",D162=0),"",F162/D162)</f>
        <v/>
      </c>
      <c r="P162" s="46" t="str">
        <f aca="false">IF(OR(H162="",D162="",D162=0),"",H162/D162)</f>
        <v/>
      </c>
      <c r="Q162" s="46" t="str">
        <f aca="false">IF(H162="","",IF(I162&lt;&gt;"",I162,IF(D162="","",D162*$E$3)))</f>
        <v/>
      </c>
      <c r="R162" s="46" t="str">
        <f aca="false">IF(H162="","",H162*$E$4)</f>
        <v/>
      </c>
      <c r="S162" s="46" t="str">
        <f aca="false">IF(OR(F162="",H162="",Q162=""),"",H162-F162-Q162-R162)</f>
        <v/>
      </c>
      <c r="T162" s="24" t="str">
        <f aca="false">IF(OR(S162="",H162="",H162=0),"",S162/H162)</f>
        <v/>
      </c>
    </row>
    <row r="163" customFormat="false" ht="15" hidden="false" customHeight="false" outlineLevel="0" collapsed="false">
      <c r="A163" s="30"/>
      <c r="B163" s="30"/>
      <c r="C163" s="30"/>
      <c r="D163" s="27"/>
      <c r="E163" s="43"/>
      <c r="F163" s="41"/>
      <c r="G163" s="43"/>
      <c r="H163" s="41"/>
      <c r="I163" s="41"/>
      <c r="J163" s="30"/>
      <c r="K163" s="30"/>
      <c r="L163" s="30"/>
      <c r="M163" s="39" t="str">
        <f aca="false">IF(OR(E163="",G163=""),"",(G163-E163)/30.44)</f>
        <v/>
      </c>
      <c r="N163" s="46" t="str">
        <f aca="false">IF(OR(F163="",H163=""),"",H163-F163)</f>
        <v/>
      </c>
      <c r="O163" s="46" t="str">
        <f aca="false">IF(OR(F163="",D163="",D163=0),"",F163/D163)</f>
        <v/>
      </c>
      <c r="P163" s="46" t="str">
        <f aca="false">IF(OR(H163="",D163="",D163=0),"",H163/D163)</f>
        <v/>
      </c>
      <c r="Q163" s="46" t="str">
        <f aca="false">IF(H163="","",IF(I163&lt;&gt;"",I163,IF(D163="","",D163*$E$3)))</f>
        <v/>
      </c>
      <c r="R163" s="46" t="str">
        <f aca="false">IF(H163="","",H163*$E$4)</f>
        <v/>
      </c>
      <c r="S163" s="46" t="str">
        <f aca="false">IF(OR(F163="",H163="",Q163=""),"",H163-F163-Q163-R163)</f>
        <v/>
      </c>
      <c r="T163" s="24" t="str">
        <f aca="false">IF(OR(S163="",H163="",H163=0),"",S163/H163)</f>
        <v/>
      </c>
    </row>
    <row r="164" customFormat="false" ht="15" hidden="false" customHeight="false" outlineLevel="0" collapsed="false">
      <c r="A164" s="30"/>
      <c r="B164" s="30"/>
      <c r="C164" s="30"/>
      <c r="D164" s="27"/>
      <c r="E164" s="43"/>
      <c r="F164" s="41"/>
      <c r="G164" s="43"/>
      <c r="H164" s="41"/>
      <c r="I164" s="41"/>
      <c r="J164" s="30"/>
      <c r="K164" s="30"/>
      <c r="L164" s="30"/>
      <c r="M164" s="39" t="str">
        <f aca="false">IF(OR(E164="",G164=""),"",(G164-E164)/30.44)</f>
        <v/>
      </c>
      <c r="N164" s="46" t="str">
        <f aca="false">IF(OR(F164="",H164=""),"",H164-F164)</f>
        <v/>
      </c>
      <c r="O164" s="46" t="str">
        <f aca="false">IF(OR(F164="",D164="",D164=0),"",F164/D164)</f>
        <v/>
      </c>
      <c r="P164" s="46" t="str">
        <f aca="false">IF(OR(H164="",D164="",D164=0),"",H164/D164)</f>
        <v/>
      </c>
      <c r="Q164" s="46" t="str">
        <f aca="false">IF(H164="","",IF(I164&lt;&gt;"",I164,IF(D164="","",D164*$E$3)))</f>
        <v/>
      </c>
      <c r="R164" s="46" t="str">
        <f aca="false">IF(H164="","",H164*$E$4)</f>
        <v/>
      </c>
      <c r="S164" s="46" t="str">
        <f aca="false">IF(OR(F164="",H164="",Q164=""),"",H164-F164-Q164-R164)</f>
        <v/>
      </c>
      <c r="T164" s="24" t="str">
        <f aca="false">IF(OR(S164="",H164="",H164=0),"",S164/H164)</f>
        <v/>
      </c>
    </row>
    <row r="165" customFormat="false" ht="15" hidden="false" customHeight="false" outlineLevel="0" collapsed="false">
      <c r="A165" s="30"/>
      <c r="B165" s="30"/>
      <c r="C165" s="30"/>
      <c r="D165" s="27"/>
      <c r="E165" s="43"/>
      <c r="F165" s="41"/>
      <c r="G165" s="43"/>
      <c r="H165" s="41"/>
      <c r="I165" s="41"/>
      <c r="J165" s="30"/>
      <c r="K165" s="30"/>
      <c r="L165" s="30"/>
      <c r="M165" s="39" t="str">
        <f aca="false">IF(OR(E165="",G165=""),"",(G165-E165)/30.44)</f>
        <v/>
      </c>
      <c r="N165" s="46" t="str">
        <f aca="false">IF(OR(F165="",H165=""),"",H165-F165)</f>
        <v/>
      </c>
      <c r="O165" s="46" t="str">
        <f aca="false">IF(OR(F165="",D165="",D165=0),"",F165/D165)</f>
        <v/>
      </c>
      <c r="P165" s="46" t="str">
        <f aca="false">IF(OR(H165="",D165="",D165=0),"",H165/D165)</f>
        <v/>
      </c>
      <c r="Q165" s="46" t="str">
        <f aca="false">IF(H165="","",IF(I165&lt;&gt;"",I165,IF(D165="","",D165*$E$3)))</f>
        <v/>
      </c>
      <c r="R165" s="46" t="str">
        <f aca="false">IF(H165="","",H165*$E$4)</f>
        <v/>
      </c>
      <c r="S165" s="46" t="str">
        <f aca="false">IF(OR(F165="",H165="",Q165=""),"",H165-F165-Q165-R165)</f>
        <v/>
      </c>
      <c r="T165" s="24" t="str">
        <f aca="false">IF(OR(S165="",H165="",H165=0),"",S165/H165)</f>
        <v/>
      </c>
    </row>
    <row r="166" customFormat="false" ht="15" hidden="false" customHeight="false" outlineLevel="0" collapsed="false">
      <c r="A166" s="30"/>
      <c r="B166" s="30"/>
      <c r="C166" s="30"/>
      <c r="D166" s="27"/>
      <c r="E166" s="43"/>
      <c r="F166" s="41"/>
      <c r="G166" s="43"/>
      <c r="H166" s="41"/>
      <c r="I166" s="41"/>
      <c r="J166" s="30"/>
      <c r="K166" s="30"/>
      <c r="L166" s="30"/>
      <c r="M166" s="39" t="str">
        <f aca="false">IF(OR(E166="",G166=""),"",(G166-E166)/30.44)</f>
        <v/>
      </c>
      <c r="N166" s="46" t="str">
        <f aca="false">IF(OR(F166="",H166=""),"",H166-F166)</f>
        <v/>
      </c>
      <c r="O166" s="46" t="str">
        <f aca="false">IF(OR(F166="",D166="",D166=0),"",F166/D166)</f>
        <v/>
      </c>
      <c r="P166" s="46" t="str">
        <f aca="false">IF(OR(H166="",D166="",D166=0),"",H166/D166)</f>
        <v/>
      </c>
      <c r="Q166" s="46" t="str">
        <f aca="false">IF(H166="","",IF(I166&lt;&gt;"",I166,IF(D166="","",D166*$E$3)))</f>
        <v/>
      </c>
      <c r="R166" s="46" t="str">
        <f aca="false">IF(H166="","",H166*$E$4)</f>
        <v/>
      </c>
      <c r="S166" s="46" t="str">
        <f aca="false">IF(OR(F166="",H166="",Q166=""),"",H166-F166-Q166-R166)</f>
        <v/>
      </c>
      <c r="T166" s="24" t="str">
        <f aca="false">IF(OR(S166="",H166="",H166=0),"",S166/H166)</f>
        <v/>
      </c>
    </row>
    <row r="167" customFormat="false" ht="15" hidden="false" customHeight="false" outlineLevel="0" collapsed="false">
      <c r="A167" s="30"/>
      <c r="B167" s="30"/>
      <c r="C167" s="30"/>
      <c r="D167" s="27"/>
      <c r="E167" s="43"/>
      <c r="F167" s="41"/>
      <c r="G167" s="43"/>
      <c r="H167" s="41"/>
      <c r="I167" s="41"/>
      <c r="J167" s="30"/>
      <c r="K167" s="30"/>
      <c r="L167" s="30"/>
      <c r="M167" s="39" t="str">
        <f aca="false">IF(OR(E167="",G167=""),"",(G167-E167)/30.44)</f>
        <v/>
      </c>
      <c r="N167" s="46" t="str">
        <f aca="false">IF(OR(F167="",H167=""),"",H167-F167)</f>
        <v/>
      </c>
      <c r="O167" s="46" t="str">
        <f aca="false">IF(OR(F167="",D167="",D167=0),"",F167/D167)</f>
        <v/>
      </c>
      <c r="P167" s="46" t="str">
        <f aca="false">IF(OR(H167="",D167="",D167=0),"",H167/D167)</f>
        <v/>
      </c>
      <c r="Q167" s="46" t="str">
        <f aca="false">IF(H167="","",IF(I167&lt;&gt;"",I167,IF(D167="","",D167*$E$3)))</f>
        <v/>
      </c>
      <c r="R167" s="46" t="str">
        <f aca="false">IF(H167="","",H167*$E$4)</f>
        <v/>
      </c>
      <c r="S167" s="46" t="str">
        <f aca="false">IF(OR(F167="",H167="",Q167=""),"",H167-F167-Q167-R167)</f>
        <v/>
      </c>
      <c r="T167" s="24" t="str">
        <f aca="false">IF(OR(S167="",H167="",H167=0),"",S167/H167)</f>
        <v/>
      </c>
    </row>
    <row r="168" customFormat="false" ht="15" hidden="false" customHeight="false" outlineLevel="0" collapsed="false">
      <c r="A168" s="30"/>
      <c r="B168" s="30"/>
      <c r="C168" s="30"/>
      <c r="D168" s="27"/>
      <c r="E168" s="43"/>
      <c r="F168" s="41"/>
      <c r="G168" s="43"/>
      <c r="H168" s="41"/>
      <c r="I168" s="41"/>
      <c r="J168" s="30"/>
      <c r="K168" s="30"/>
      <c r="L168" s="30"/>
      <c r="M168" s="39" t="str">
        <f aca="false">IF(OR(E168="",G168=""),"",(G168-E168)/30.44)</f>
        <v/>
      </c>
      <c r="N168" s="46" t="str">
        <f aca="false">IF(OR(F168="",H168=""),"",H168-F168)</f>
        <v/>
      </c>
      <c r="O168" s="46" t="str">
        <f aca="false">IF(OR(F168="",D168="",D168=0),"",F168/D168)</f>
        <v/>
      </c>
      <c r="P168" s="46" t="str">
        <f aca="false">IF(OR(H168="",D168="",D168=0),"",H168/D168)</f>
        <v/>
      </c>
      <c r="Q168" s="46" t="str">
        <f aca="false">IF(H168="","",IF(I168&lt;&gt;"",I168,IF(D168="","",D168*$E$3)))</f>
        <v/>
      </c>
      <c r="R168" s="46" t="str">
        <f aca="false">IF(H168="","",H168*$E$4)</f>
        <v/>
      </c>
      <c r="S168" s="46" t="str">
        <f aca="false">IF(OR(F168="",H168="",Q168=""),"",H168-F168-Q168-R168)</f>
        <v/>
      </c>
      <c r="T168" s="24" t="str">
        <f aca="false">IF(OR(S168="",H168="",H168=0),"",S168/H168)</f>
        <v/>
      </c>
    </row>
    <row r="169" customFormat="false" ht="15" hidden="false" customHeight="false" outlineLevel="0" collapsed="false">
      <c r="A169" s="30"/>
      <c r="B169" s="30"/>
      <c r="C169" s="30"/>
      <c r="D169" s="27"/>
      <c r="E169" s="43"/>
      <c r="F169" s="41"/>
      <c r="G169" s="43"/>
      <c r="H169" s="41"/>
      <c r="I169" s="41"/>
      <c r="J169" s="30"/>
      <c r="K169" s="30"/>
      <c r="L169" s="30"/>
      <c r="M169" s="39" t="str">
        <f aca="false">IF(OR(E169="",G169=""),"",(G169-E169)/30.44)</f>
        <v/>
      </c>
      <c r="N169" s="46" t="str">
        <f aca="false">IF(OR(F169="",H169=""),"",H169-F169)</f>
        <v/>
      </c>
      <c r="O169" s="46" t="str">
        <f aca="false">IF(OR(F169="",D169="",D169=0),"",F169/D169)</f>
        <v/>
      </c>
      <c r="P169" s="46" t="str">
        <f aca="false">IF(OR(H169="",D169="",D169=0),"",H169/D169)</f>
        <v/>
      </c>
      <c r="Q169" s="46" t="str">
        <f aca="false">IF(H169="","",IF(I169&lt;&gt;"",I169,IF(D169="","",D169*$E$3)))</f>
        <v/>
      </c>
      <c r="R169" s="46" t="str">
        <f aca="false">IF(H169="","",H169*$E$4)</f>
        <v/>
      </c>
      <c r="S169" s="46" t="str">
        <f aca="false">IF(OR(F169="",H169="",Q169=""),"",H169-F169-Q169-R169)</f>
        <v/>
      </c>
      <c r="T169" s="24" t="str">
        <f aca="false">IF(OR(S169="",H169="",H169=0),"",S169/H169)</f>
        <v/>
      </c>
    </row>
    <row r="170" customFormat="false" ht="15" hidden="false" customHeight="false" outlineLevel="0" collapsed="false">
      <c r="A170" s="30"/>
      <c r="B170" s="30"/>
      <c r="C170" s="30"/>
      <c r="D170" s="27"/>
      <c r="E170" s="43"/>
      <c r="F170" s="41"/>
      <c r="G170" s="43"/>
      <c r="H170" s="41"/>
      <c r="I170" s="41"/>
      <c r="J170" s="30"/>
      <c r="K170" s="30"/>
      <c r="L170" s="30"/>
      <c r="M170" s="39" t="str">
        <f aca="false">IF(OR(E170="",G170=""),"",(G170-E170)/30.44)</f>
        <v/>
      </c>
      <c r="N170" s="46" t="str">
        <f aca="false">IF(OR(F170="",H170=""),"",H170-F170)</f>
        <v/>
      </c>
      <c r="O170" s="46" t="str">
        <f aca="false">IF(OR(F170="",D170="",D170=0),"",F170/D170)</f>
        <v/>
      </c>
      <c r="P170" s="46" t="str">
        <f aca="false">IF(OR(H170="",D170="",D170=0),"",H170/D170)</f>
        <v/>
      </c>
      <c r="Q170" s="46" t="str">
        <f aca="false">IF(H170="","",IF(I170&lt;&gt;"",I170,IF(D170="","",D170*$E$3)))</f>
        <v/>
      </c>
      <c r="R170" s="46" t="str">
        <f aca="false">IF(H170="","",H170*$E$4)</f>
        <v/>
      </c>
      <c r="S170" s="46" t="str">
        <f aca="false">IF(OR(F170="",H170="",Q170=""),"",H170-F170-Q170-R170)</f>
        <v/>
      </c>
      <c r="T170" s="24" t="str">
        <f aca="false">IF(OR(S170="",H170="",H170=0),"",S170/H170)</f>
        <v/>
      </c>
    </row>
    <row r="171" customFormat="false" ht="15" hidden="false" customHeight="false" outlineLevel="0" collapsed="false">
      <c r="A171" s="30"/>
      <c r="B171" s="30"/>
      <c r="C171" s="30"/>
      <c r="D171" s="27"/>
      <c r="E171" s="43"/>
      <c r="F171" s="41"/>
      <c r="G171" s="43"/>
      <c r="H171" s="41"/>
      <c r="I171" s="41"/>
      <c r="J171" s="30"/>
      <c r="K171" s="30"/>
      <c r="L171" s="30"/>
      <c r="M171" s="39" t="str">
        <f aca="false">IF(OR(E171="",G171=""),"",(G171-E171)/30.44)</f>
        <v/>
      </c>
      <c r="N171" s="46" t="str">
        <f aca="false">IF(OR(F171="",H171=""),"",H171-F171)</f>
        <v/>
      </c>
      <c r="O171" s="46" t="str">
        <f aca="false">IF(OR(F171="",D171="",D171=0),"",F171/D171)</f>
        <v/>
      </c>
      <c r="P171" s="46" t="str">
        <f aca="false">IF(OR(H171="",D171="",D171=0),"",H171/D171)</f>
        <v/>
      </c>
      <c r="Q171" s="46" t="str">
        <f aca="false">IF(H171="","",IF(I171&lt;&gt;"",I171,IF(D171="","",D171*$E$3)))</f>
        <v/>
      </c>
      <c r="R171" s="46" t="str">
        <f aca="false">IF(H171="","",H171*$E$4)</f>
        <v/>
      </c>
      <c r="S171" s="46" t="str">
        <f aca="false">IF(OR(F171="",H171="",Q171=""),"",H171-F171-Q171-R171)</f>
        <v/>
      </c>
      <c r="T171" s="24" t="str">
        <f aca="false">IF(OR(S171="",H171="",H171=0),"",S171/H171)</f>
        <v/>
      </c>
    </row>
    <row r="172" customFormat="false" ht="15" hidden="false" customHeight="false" outlineLevel="0" collapsed="false">
      <c r="A172" s="30"/>
      <c r="B172" s="30"/>
      <c r="C172" s="30"/>
      <c r="D172" s="27"/>
      <c r="E172" s="43"/>
      <c r="F172" s="41"/>
      <c r="G172" s="43"/>
      <c r="H172" s="41"/>
      <c r="I172" s="41"/>
      <c r="J172" s="30"/>
      <c r="K172" s="30"/>
      <c r="L172" s="30"/>
      <c r="M172" s="39" t="str">
        <f aca="false">IF(OR(E172="",G172=""),"",(G172-E172)/30.44)</f>
        <v/>
      </c>
      <c r="N172" s="46" t="str">
        <f aca="false">IF(OR(F172="",H172=""),"",H172-F172)</f>
        <v/>
      </c>
      <c r="O172" s="46" t="str">
        <f aca="false">IF(OR(F172="",D172="",D172=0),"",F172/D172)</f>
        <v/>
      </c>
      <c r="P172" s="46" t="str">
        <f aca="false">IF(OR(H172="",D172="",D172=0),"",H172/D172)</f>
        <v/>
      </c>
      <c r="Q172" s="46" t="str">
        <f aca="false">IF(H172="","",IF(I172&lt;&gt;"",I172,IF(D172="","",D172*$E$3)))</f>
        <v/>
      </c>
      <c r="R172" s="46" t="str">
        <f aca="false">IF(H172="","",H172*$E$4)</f>
        <v/>
      </c>
      <c r="S172" s="46" t="str">
        <f aca="false">IF(OR(F172="",H172="",Q172=""),"",H172-F172-Q172-R172)</f>
        <v/>
      </c>
      <c r="T172" s="24" t="str">
        <f aca="false">IF(OR(S172="",H172="",H172=0),"",S172/H172)</f>
        <v/>
      </c>
    </row>
    <row r="173" customFormat="false" ht="15" hidden="false" customHeight="false" outlineLevel="0" collapsed="false">
      <c r="A173" s="30"/>
      <c r="B173" s="30"/>
      <c r="C173" s="30"/>
      <c r="D173" s="27"/>
      <c r="E173" s="43"/>
      <c r="F173" s="41"/>
      <c r="G173" s="43"/>
      <c r="H173" s="41"/>
      <c r="I173" s="41"/>
      <c r="J173" s="30"/>
      <c r="K173" s="30"/>
      <c r="L173" s="30"/>
      <c r="M173" s="39" t="str">
        <f aca="false">IF(OR(E173="",G173=""),"",(G173-E173)/30.44)</f>
        <v/>
      </c>
      <c r="N173" s="46" t="str">
        <f aca="false">IF(OR(F173="",H173=""),"",H173-F173)</f>
        <v/>
      </c>
      <c r="O173" s="46" t="str">
        <f aca="false">IF(OR(F173="",D173="",D173=0),"",F173/D173)</f>
        <v/>
      </c>
      <c r="P173" s="46" t="str">
        <f aca="false">IF(OR(H173="",D173="",D173=0),"",H173/D173)</f>
        <v/>
      </c>
      <c r="Q173" s="46" t="str">
        <f aca="false">IF(H173="","",IF(I173&lt;&gt;"",I173,IF(D173="","",D173*$E$3)))</f>
        <v/>
      </c>
      <c r="R173" s="46" t="str">
        <f aca="false">IF(H173="","",H173*$E$4)</f>
        <v/>
      </c>
      <c r="S173" s="46" t="str">
        <f aca="false">IF(OR(F173="",H173="",Q173=""),"",H173-F173-Q173-R173)</f>
        <v/>
      </c>
      <c r="T173" s="24" t="str">
        <f aca="false">IF(OR(S173="",H173="",H173=0),"",S173/H173)</f>
        <v/>
      </c>
    </row>
    <row r="174" customFormat="false" ht="15" hidden="false" customHeight="false" outlineLevel="0" collapsed="false">
      <c r="A174" s="30"/>
      <c r="B174" s="30"/>
      <c r="C174" s="30"/>
      <c r="D174" s="27"/>
      <c r="E174" s="43"/>
      <c r="F174" s="41"/>
      <c r="G174" s="43"/>
      <c r="H174" s="41"/>
      <c r="I174" s="41"/>
      <c r="J174" s="30"/>
      <c r="K174" s="30"/>
      <c r="L174" s="30"/>
      <c r="M174" s="39" t="str">
        <f aca="false">IF(OR(E174="",G174=""),"",(G174-E174)/30.44)</f>
        <v/>
      </c>
      <c r="N174" s="46" t="str">
        <f aca="false">IF(OR(F174="",H174=""),"",H174-F174)</f>
        <v/>
      </c>
      <c r="O174" s="46" t="str">
        <f aca="false">IF(OR(F174="",D174="",D174=0),"",F174/D174)</f>
        <v/>
      </c>
      <c r="P174" s="46" t="str">
        <f aca="false">IF(OR(H174="",D174="",D174=0),"",H174/D174)</f>
        <v/>
      </c>
      <c r="Q174" s="46" t="str">
        <f aca="false">IF(H174="","",IF(I174&lt;&gt;"",I174,IF(D174="","",D174*$E$3)))</f>
        <v/>
      </c>
      <c r="R174" s="46" t="str">
        <f aca="false">IF(H174="","",H174*$E$4)</f>
        <v/>
      </c>
      <c r="S174" s="46" t="str">
        <f aca="false">IF(OR(F174="",H174="",Q174=""),"",H174-F174-Q174-R174)</f>
        <v/>
      </c>
      <c r="T174" s="24" t="str">
        <f aca="false">IF(OR(S174="",H174="",H174=0),"",S174/H174)</f>
        <v/>
      </c>
    </row>
    <row r="175" customFormat="false" ht="15" hidden="false" customHeight="false" outlineLevel="0" collapsed="false">
      <c r="A175" s="30"/>
      <c r="B175" s="30"/>
      <c r="C175" s="30"/>
      <c r="D175" s="27"/>
      <c r="E175" s="43"/>
      <c r="F175" s="41"/>
      <c r="G175" s="43"/>
      <c r="H175" s="41"/>
      <c r="I175" s="41"/>
      <c r="J175" s="30"/>
      <c r="K175" s="30"/>
      <c r="L175" s="30"/>
      <c r="M175" s="39" t="str">
        <f aca="false">IF(OR(E175="",G175=""),"",(G175-E175)/30.44)</f>
        <v/>
      </c>
      <c r="N175" s="46" t="str">
        <f aca="false">IF(OR(F175="",H175=""),"",H175-F175)</f>
        <v/>
      </c>
      <c r="O175" s="46" t="str">
        <f aca="false">IF(OR(F175="",D175="",D175=0),"",F175/D175)</f>
        <v/>
      </c>
      <c r="P175" s="46" t="str">
        <f aca="false">IF(OR(H175="",D175="",D175=0),"",H175/D175)</f>
        <v/>
      </c>
      <c r="Q175" s="46" t="str">
        <f aca="false">IF(H175="","",IF(I175&lt;&gt;"",I175,IF(D175="","",D175*$E$3)))</f>
        <v/>
      </c>
      <c r="R175" s="46" t="str">
        <f aca="false">IF(H175="","",H175*$E$4)</f>
        <v/>
      </c>
      <c r="S175" s="46" t="str">
        <f aca="false">IF(OR(F175="",H175="",Q175=""),"",H175-F175-Q175-R175)</f>
        <v/>
      </c>
      <c r="T175" s="24" t="str">
        <f aca="false">IF(OR(S175="",H175="",H175=0),"",S175/H175)</f>
        <v/>
      </c>
    </row>
    <row r="176" customFormat="false" ht="15" hidden="false" customHeight="false" outlineLevel="0" collapsed="false">
      <c r="A176" s="30"/>
      <c r="B176" s="30"/>
      <c r="C176" s="30"/>
      <c r="D176" s="27"/>
      <c r="E176" s="43"/>
      <c r="F176" s="41"/>
      <c r="G176" s="43"/>
      <c r="H176" s="41"/>
      <c r="I176" s="41"/>
      <c r="J176" s="30"/>
      <c r="K176" s="30"/>
      <c r="L176" s="30"/>
      <c r="M176" s="39" t="str">
        <f aca="false">IF(OR(E176="",G176=""),"",(G176-E176)/30.44)</f>
        <v/>
      </c>
      <c r="N176" s="46" t="str">
        <f aca="false">IF(OR(F176="",H176=""),"",H176-F176)</f>
        <v/>
      </c>
      <c r="O176" s="46" t="str">
        <f aca="false">IF(OR(F176="",D176="",D176=0),"",F176/D176)</f>
        <v/>
      </c>
      <c r="P176" s="46" t="str">
        <f aca="false">IF(OR(H176="",D176="",D176=0),"",H176/D176)</f>
        <v/>
      </c>
      <c r="Q176" s="46" t="str">
        <f aca="false">IF(H176="","",IF(I176&lt;&gt;"",I176,IF(D176="","",D176*$E$3)))</f>
        <v/>
      </c>
      <c r="R176" s="46" t="str">
        <f aca="false">IF(H176="","",H176*$E$4)</f>
        <v/>
      </c>
      <c r="S176" s="46" t="str">
        <f aca="false">IF(OR(F176="",H176="",Q176=""),"",H176-F176-Q176-R176)</f>
        <v/>
      </c>
      <c r="T176" s="24" t="str">
        <f aca="false">IF(OR(S176="",H176="",H176=0),"",S176/H176)</f>
        <v/>
      </c>
    </row>
    <row r="177" customFormat="false" ht="15" hidden="false" customHeight="false" outlineLevel="0" collapsed="false">
      <c r="A177" s="30"/>
      <c r="B177" s="30"/>
      <c r="C177" s="30"/>
      <c r="D177" s="27"/>
      <c r="E177" s="43"/>
      <c r="F177" s="41"/>
      <c r="G177" s="43"/>
      <c r="H177" s="41"/>
      <c r="I177" s="41"/>
      <c r="J177" s="30"/>
      <c r="K177" s="30"/>
      <c r="L177" s="30"/>
      <c r="M177" s="39" t="str">
        <f aca="false">IF(OR(E177="",G177=""),"",(G177-E177)/30.44)</f>
        <v/>
      </c>
      <c r="N177" s="46" t="str">
        <f aca="false">IF(OR(F177="",H177=""),"",H177-F177)</f>
        <v/>
      </c>
      <c r="O177" s="46" t="str">
        <f aca="false">IF(OR(F177="",D177="",D177=0),"",F177/D177)</f>
        <v/>
      </c>
      <c r="P177" s="46" t="str">
        <f aca="false">IF(OR(H177="",D177="",D177=0),"",H177/D177)</f>
        <v/>
      </c>
      <c r="Q177" s="46" t="str">
        <f aca="false">IF(H177="","",IF(I177&lt;&gt;"",I177,IF(D177="","",D177*$E$3)))</f>
        <v/>
      </c>
      <c r="R177" s="46" t="str">
        <f aca="false">IF(H177="","",H177*$E$4)</f>
        <v/>
      </c>
      <c r="S177" s="46" t="str">
        <f aca="false">IF(OR(F177="",H177="",Q177=""),"",H177-F177-Q177-R177)</f>
        <v/>
      </c>
      <c r="T177" s="24" t="str">
        <f aca="false">IF(OR(S177="",H177="",H177=0),"",S177/H177)</f>
        <v/>
      </c>
    </row>
    <row r="178" customFormat="false" ht="15" hidden="false" customHeight="false" outlineLevel="0" collapsed="false">
      <c r="A178" s="30"/>
      <c r="B178" s="30"/>
      <c r="C178" s="30"/>
      <c r="D178" s="27"/>
      <c r="E178" s="43"/>
      <c r="F178" s="41"/>
      <c r="G178" s="43"/>
      <c r="H178" s="41"/>
      <c r="I178" s="41"/>
      <c r="J178" s="30"/>
      <c r="K178" s="30"/>
      <c r="L178" s="30"/>
      <c r="M178" s="39" t="str">
        <f aca="false">IF(OR(E178="",G178=""),"",(G178-E178)/30.44)</f>
        <v/>
      </c>
      <c r="N178" s="46" t="str">
        <f aca="false">IF(OR(F178="",H178=""),"",H178-F178)</f>
        <v/>
      </c>
      <c r="O178" s="46" t="str">
        <f aca="false">IF(OR(F178="",D178="",D178=0),"",F178/D178)</f>
        <v/>
      </c>
      <c r="P178" s="46" t="str">
        <f aca="false">IF(OR(H178="",D178="",D178=0),"",H178/D178)</f>
        <v/>
      </c>
      <c r="Q178" s="46" t="str">
        <f aca="false">IF(H178="","",IF(I178&lt;&gt;"",I178,IF(D178="","",D178*$E$3)))</f>
        <v/>
      </c>
      <c r="R178" s="46" t="str">
        <f aca="false">IF(H178="","",H178*$E$4)</f>
        <v/>
      </c>
      <c r="S178" s="46" t="str">
        <f aca="false">IF(OR(F178="",H178="",Q178=""),"",H178-F178-Q178-R178)</f>
        <v/>
      </c>
      <c r="T178" s="24" t="str">
        <f aca="false">IF(OR(S178="",H178="",H178=0),"",S178/H178)</f>
        <v/>
      </c>
    </row>
    <row r="179" customFormat="false" ht="15" hidden="false" customHeight="false" outlineLevel="0" collapsed="false">
      <c r="A179" s="30"/>
      <c r="B179" s="30"/>
      <c r="C179" s="30"/>
      <c r="D179" s="27"/>
      <c r="E179" s="43"/>
      <c r="F179" s="41"/>
      <c r="G179" s="43"/>
      <c r="H179" s="41"/>
      <c r="I179" s="41"/>
      <c r="J179" s="30"/>
      <c r="K179" s="30"/>
      <c r="L179" s="30"/>
      <c r="M179" s="39" t="str">
        <f aca="false">IF(OR(E179="",G179=""),"",(G179-E179)/30.44)</f>
        <v/>
      </c>
      <c r="N179" s="46" t="str">
        <f aca="false">IF(OR(F179="",H179=""),"",H179-F179)</f>
        <v/>
      </c>
      <c r="O179" s="46" t="str">
        <f aca="false">IF(OR(F179="",D179="",D179=0),"",F179/D179)</f>
        <v/>
      </c>
      <c r="P179" s="46" t="str">
        <f aca="false">IF(OR(H179="",D179="",D179=0),"",H179/D179)</f>
        <v/>
      </c>
      <c r="Q179" s="46" t="str">
        <f aca="false">IF(H179="","",IF(I179&lt;&gt;"",I179,IF(D179="","",D179*$E$3)))</f>
        <v/>
      </c>
      <c r="R179" s="46" t="str">
        <f aca="false">IF(H179="","",H179*$E$4)</f>
        <v/>
      </c>
      <c r="S179" s="46" t="str">
        <f aca="false">IF(OR(F179="",H179="",Q179=""),"",H179-F179-Q179-R179)</f>
        <v/>
      </c>
      <c r="T179" s="24" t="str">
        <f aca="false">IF(OR(S179="",H179="",H179=0),"",S179/H179)</f>
        <v/>
      </c>
    </row>
    <row r="180" customFormat="false" ht="15" hidden="false" customHeight="false" outlineLevel="0" collapsed="false">
      <c r="A180" s="30"/>
      <c r="B180" s="30"/>
      <c r="C180" s="30"/>
      <c r="D180" s="27"/>
      <c r="E180" s="43"/>
      <c r="F180" s="41"/>
      <c r="G180" s="43"/>
      <c r="H180" s="41"/>
      <c r="I180" s="41"/>
      <c r="J180" s="30"/>
      <c r="K180" s="30"/>
      <c r="L180" s="30"/>
      <c r="M180" s="39" t="str">
        <f aca="false">IF(OR(E180="",G180=""),"",(G180-E180)/30.44)</f>
        <v/>
      </c>
      <c r="N180" s="46" t="str">
        <f aca="false">IF(OR(F180="",H180=""),"",H180-F180)</f>
        <v/>
      </c>
      <c r="O180" s="46" t="str">
        <f aca="false">IF(OR(F180="",D180="",D180=0),"",F180/D180)</f>
        <v/>
      </c>
      <c r="P180" s="46" t="str">
        <f aca="false">IF(OR(H180="",D180="",D180=0),"",H180/D180)</f>
        <v/>
      </c>
      <c r="Q180" s="46" t="str">
        <f aca="false">IF(H180="","",IF(I180&lt;&gt;"",I180,IF(D180="","",D180*$E$3)))</f>
        <v/>
      </c>
      <c r="R180" s="46" t="str">
        <f aca="false">IF(H180="","",H180*$E$4)</f>
        <v/>
      </c>
      <c r="S180" s="46" t="str">
        <f aca="false">IF(OR(F180="",H180="",Q180=""),"",H180-F180-Q180-R180)</f>
        <v/>
      </c>
      <c r="T180" s="24" t="str">
        <f aca="false">IF(OR(S180="",H180="",H180=0),"",S180/H180)</f>
        <v/>
      </c>
    </row>
    <row r="181" customFormat="false" ht="15" hidden="false" customHeight="false" outlineLevel="0" collapsed="false">
      <c r="A181" s="30"/>
      <c r="B181" s="30"/>
      <c r="C181" s="30"/>
      <c r="D181" s="27"/>
      <c r="E181" s="43"/>
      <c r="F181" s="41"/>
      <c r="G181" s="43"/>
      <c r="H181" s="41"/>
      <c r="I181" s="41"/>
      <c r="J181" s="30"/>
      <c r="K181" s="30"/>
      <c r="L181" s="30"/>
      <c r="M181" s="39" t="str">
        <f aca="false">IF(OR(E181="",G181=""),"",(G181-E181)/30.44)</f>
        <v/>
      </c>
      <c r="N181" s="46" t="str">
        <f aca="false">IF(OR(F181="",H181=""),"",H181-F181)</f>
        <v/>
      </c>
      <c r="O181" s="46" t="str">
        <f aca="false">IF(OR(F181="",D181="",D181=0),"",F181/D181)</f>
        <v/>
      </c>
      <c r="P181" s="46" t="str">
        <f aca="false">IF(OR(H181="",D181="",D181=0),"",H181/D181)</f>
        <v/>
      </c>
      <c r="Q181" s="46" t="str">
        <f aca="false">IF(H181="","",IF(I181&lt;&gt;"",I181,IF(D181="","",D181*$E$3)))</f>
        <v/>
      </c>
      <c r="R181" s="46" t="str">
        <f aca="false">IF(H181="","",H181*$E$4)</f>
        <v/>
      </c>
      <c r="S181" s="46" t="str">
        <f aca="false">IF(OR(F181="",H181="",Q181=""),"",H181-F181-Q181-R181)</f>
        <v/>
      </c>
      <c r="T181" s="24" t="str">
        <f aca="false">IF(OR(S181="",H181="",H181=0),"",S181/H181)</f>
        <v/>
      </c>
    </row>
    <row r="182" customFormat="false" ht="15" hidden="false" customHeight="false" outlineLevel="0" collapsed="false">
      <c r="A182" s="30"/>
      <c r="B182" s="30"/>
      <c r="C182" s="30"/>
      <c r="D182" s="27"/>
      <c r="E182" s="43"/>
      <c r="F182" s="41"/>
      <c r="G182" s="43"/>
      <c r="H182" s="41"/>
      <c r="I182" s="41"/>
      <c r="J182" s="30"/>
      <c r="K182" s="30"/>
      <c r="L182" s="30"/>
      <c r="M182" s="39" t="str">
        <f aca="false">IF(OR(E182="",G182=""),"",(G182-E182)/30.44)</f>
        <v/>
      </c>
      <c r="N182" s="46" t="str">
        <f aca="false">IF(OR(F182="",H182=""),"",H182-F182)</f>
        <v/>
      </c>
      <c r="O182" s="46" t="str">
        <f aca="false">IF(OR(F182="",D182="",D182=0),"",F182/D182)</f>
        <v/>
      </c>
      <c r="P182" s="46" t="str">
        <f aca="false">IF(OR(H182="",D182="",D182=0),"",H182/D182)</f>
        <v/>
      </c>
      <c r="Q182" s="46" t="str">
        <f aca="false">IF(H182="","",IF(I182&lt;&gt;"",I182,IF(D182="","",D182*$E$3)))</f>
        <v/>
      </c>
      <c r="R182" s="46" t="str">
        <f aca="false">IF(H182="","",H182*$E$4)</f>
        <v/>
      </c>
      <c r="S182" s="46" t="str">
        <f aca="false">IF(OR(F182="",H182="",Q182=""),"",H182-F182-Q182-R182)</f>
        <v/>
      </c>
      <c r="T182" s="24" t="str">
        <f aca="false">IF(OR(S182="",H182="",H182=0),"",S182/H182)</f>
        <v/>
      </c>
    </row>
    <row r="183" customFormat="false" ht="15" hidden="false" customHeight="false" outlineLevel="0" collapsed="false">
      <c r="A183" s="30"/>
      <c r="B183" s="30"/>
      <c r="C183" s="30"/>
      <c r="D183" s="27"/>
      <c r="E183" s="43"/>
      <c r="F183" s="41"/>
      <c r="G183" s="43"/>
      <c r="H183" s="41"/>
      <c r="I183" s="41"/>
      <c r="J183" s="30"/>
      <c r="K183" s="30"/>
      <c r="L183" s="30"/>
      <c r="M183" s="39" t="str">
        <f aca="false">IF(OR(E183="",G183=""),"",(G183-E183)/30.44)</f>
        <v/>
      </c>
      <c r="N183" s="46" t="str">
        <f aca="false">IF(OR(F183="",H183=""),"",H183-F183)</f>
        <v/>
      </c>
      <c r="O183" s="46" t="str">
        <f aca="false">IF(OR(F183="",D183="",D183=0),"",F183/D183)</f>
        <v/>
      </c>
      <c r="P183" s="46" t="str">
        <f aca="false">IF(OR(H183="",D183="",D183=0),"",H183/D183)</f>
        <v/>
      </c>
      <c r="Q183" s="46" t="str">
        <f aca="false">IF(H183="","",IF(I183&lt;&gt;"",I183,IF(D183="","",D183*$E$3)))</f>
        <v/>
      </c>
      <c r="R183" s="46" t="str">
        <f aca="false">IF(H183="","",H183*$E$4)</f>
        <v/>
      </c>
      <c r="S183" s="46" t="str">
        <f aca="false">IF(OR(F183="",H183="",Q183=""),"",H183-F183-Q183-R183)</f>
        <v/>
      </c>
      <c r="T183" s="24" t="str">
        <f aca="false">IF(OR(S183="",H183="",H183=0),"",S183/H183)</f>
        <v/>
      </c>
    </row>
    <row r="184" customFormat="false" ht="15" hidden="false" customHeight="false" outlineLevel="0" collapsed="false">
      <c r="A184" s="30"/>
      <c r="B184" s="30"/>
      <c r="C184" s="30"/>
      <c r="D184" s="27"/>
      <c r="E184" s="43"/>
      <c r="F184" s="41"/>
      <c r="G184" s="43"/>
      <c r="H184" s="41"/>
      <c r="I184" s="41"/>
      <c r="J184" s="30"/>
      <c r="K184" s="30"/>
      <c r="L184" s="30"/>
      <c r="M184" s="39" t="str">
        <f aca="false">IF(OR(E184="",G184=""),"",(G184-E184)/30.44)</f>
        <v/>
      </c>
      <c r="N184" s="46" t="str">
        <f aca="false">IF(OR(F184="",H184=""),"",H184-F184)</f>
        <v/>
      </c>
      <c r="O184" s="46" t="str">
        <f aca="false">IF(OR(F184="",D184="",D184=0),"",F184/D184)</f>
        <v/>
      </c>
      <c r="P184" s="46" t="str">
        <f aca="false">IF(OR(H184="",D184="",D184=0),"",H184/D184)</f>
        <v/>
      </c>
      <c r="Q184" s="46" t="str">
        <f aca="false">IF(H184="","",IF(I184&lt;&gt;"",I184,IF(D184="","",D184*$E$3)))</f>
        <v/>
      </c>
      <c r="R184" s="46" t="str">
        <f aca="false">IF(H184="","",H184*$E$4)</f>
        <v/>
      </c>
      <c r="S184" s="46" t="str">
        <f aca="false">IF(OR(F184="",H184="",Q184=""),"",H184-F184-Q184-R184)</f>
        <v/>
      </c>
      <c r="T184" s="24" t="str">
        <f aca="false">IF(OR(S184="",H184="",H184=0),"",S184/H184)</f>
        <v/>
      </c>
    </row>
    <row r="185" customFormat="false" ht="15" hidden="false" customHeight="false" outlineLevel="0" collapsed="false">
      <c r="A185" s="30"/>
      <c r="B185" s="30"/>
      <c r="C185" s="30"/>
      <c r="D185" s="27"/>
      <c r="E185" s="43"/>
      <c r="F185" s="41"/>
      <c r="G185" s="43"/>
      <c r="H185" s="41"/>
      <c r="I185" s="41"/>
      <c r="J185" s="30"/>
      <c r="K185" s="30"/>
      <c r="L185" s="30"/>
      <c r="M185" s="39" t="str">
        <f aca="false">IF(OR(E185="",G185=""),"",(G185-E185)/30.44)</f>
        <v/>
      </c>
      <c r="N185" s="46" t="str">
        <f aca="false">IF(OR(F185="",H185=""),"",H185-F185)</f>
        <v/>
      </c>
      <c r="O185" s="46" t="str">
        <f aca="false">IF(OR(F185="",D185="",D185=0),"",F185/D185)</f>
        <v/>
      </c>
      <c r="P185" s="46" t="str">
        <f aca="false">IF(OR(H185="",D185="",D185=0),"",H185/D185)</f>
        <v/>
      </c>
      <c r="Q185" s="46" t="str">
        <f aca="false">IF(H185="","",IF(I185&lt;&gt;"",I185,IF(D185="","",D185*$E$3)))</f>
        <v/>
      </c>
      <c r="R185" s="46" t="str">
        <f aca="false">IF(H185="","",H185*$E$4)</f>
        <v/>
      </c>
      <c r="S185" s="46" t="str">
        <f aca="false">IF(OR(F185="",H185="",Q185=""),"",H185-F185-Q185-R185)</f>
        <v/>
      </c>
      <c r="T185" s="24" t="str">
        <f aca="false">IF(OR(S185="",H185="",H185=0),"",S185/H185)</f>
        <v/>
      </c>
    </row>
    <row r="186" customFormat="false" ht="15" hidden="false" customHeight="false" outlineLevel="0" collapsed="false">
      <c r="A186" s="30"/>
      <c r="B186" s="30"/>
      <c r="C186" s="30"/>
      <c r="D186" s="27"/>
      <c r="E186" s="43"/>
      <c r="F186" s="41"/>
      <c r="G186" s="43"/>
      <c r="H186" s="41"/>
      <c r="I186" s="41"/>
      <c r="J186" s="30"/>
      <c r="K186" s="30"/>
      <c r="L186" s="30"/>
      <c r="M186" s="39" t="str">
        <f aca="false">IF(OR(E186="",G186=""),"",(G186-E186)/30.44)</f>
        <v/>
      </c>
      <c r="N186" s="46" t="str">
        <f aca="false">IF(OR(F186="",H186=""),"",H186-F186)</f>
        <v/>
      </c>
      <c r="O186" s="46" t="str">
        <f aca="false">IF(OR(F186="",D186="",D186=0),"",F186/D186)</f>
        <v/>
      </c>
      <c r="P186" s="46" t="str">
        <f aca="false">IF(OR(H186="",D186="",D186=0),"",H186/D186)</f>
        <v/>
      </c>
      <c r="Q186" s="46" t="str">
        <f aca="false">IF(H186="","",IF(I186&lt;&gt;"",I186,IF(D186="","",D186*$E$3)))</f>
        <v/>
      </c>
      <c r="R186" s="46" t="str">
        <f aca="false">IF(H186="","",H186*$E$4)</f>
        <v/>
      </c>
      <c r="S186" s="46" t="str">
        <f aca="false">IF(OR(F186="",H186="",Q186=""),"",H186-F186-Q186-R186)</f>
        <v/>
      </c>
      <c r="T186" s="24" t="str">
        <f aca="false">IF(OR(S186="",H186="",H186=0),"",S186/H186)</f>
        <v/>
      </c>
    </row>
    <row r="187" customFormat="false" ht="15" hidden="false" customHeight="false" outlineLevel="0" collapsed="false">
      <c r="A187" s="30"/>
      <c r="B187" s="30"/>
      <c r="C187" s="30"/>
      <c r="D187" s="27"/>
      <c r="E187" s="43"/>
      <c r="F187" s="41"/>
      <c r="G187" s="43"/>
      <c r="H187" s="41"/>
      <c r="I187" s="41"/>
      <c r="J187" s="30"/>
      <c r="K187" s="30"/>
      <c r="L187" s="30"/>
      <c r="M187" s="39" t="str">
        <f aca="false">IF(OR(E187="",G187=""),"",(G187-E187)/30.44)</f>
        <v/>
      </c>
      <c r="N187" s="46" t="str">
        <f aca="false">IF(OR(F187="",H187=""),"",H187-F187)</f>
        <v/>
      </c>
      <c r="O187" s="46" t="str">
        <f aca="false">IF(OR(F187="",D187="",D187=0),"",F187/D187)</f>
        <v/>
      </c>
      <c r="P187" s="46" t="str">
        <f aca="false">IF(OR(H187="",D187="",D187=0),"",H187/D187)</f>
        <v/>
      </c>
      <c r="Q187" s="46" t="str">
        <f aca="false">IF(H187="","",IF(I187&lt;&gt;"",I187,IF(D187="","",D187*$E$3)))</f>
        <v/>
      </c>
      <c r="R187" s="46" t="str">
        <f aca="false">IF(H187="","",H187*$E$4)</f>
        <v/>
      </c>
      <c r="S187" s="46" t="str">
        <f aca="false">IF(OR(F187="",H187="",Q187=""),"",H187-F187-Q187-R187)</f>
        <v/>
      </c>
      <c r="T187" s="24" t="str">
        <f aca="false">IF(OR(S187="",H187="",H187=0),"",S187/H187)</f>
        <v/>
      </c>
    </row>
    <row r="188" customFormat="false" ht="15" hidden="false" customHeight="false" outlineLevel="0" collapsed="false">
      <c r="A188" s="30"/>
      <c r="B188" s="30"/>
      <c r="C188" s="30"/>
      <c r="D188" s="27"/>
      <c r="E188" s="43"/>
      <c r="F188" s="41"/>
      <c r="G188" s="43"/>
      <c r="H188" s="41"/>
      <c r="I188" s="41"/>
      <c r="J188" s="30"/>
      <c r="K188" s="30"/>
      <c r="L188" s="30"/>
      <c r="M188" s="39" t="str">
        <f aca="false">IF(OR(E188="",G188=""),"",(G188-E188)/30.44)</f>
        <v/>
      </c>
      <c r="N188" s="46" t="str">
        <f aca="false">IF(OR(F188="",H188=""),"",H188-F188)</f>
        <v/>
      </c>
      <c r="O188" s="46" t="str">
        <f aca="false">IF(OR(F188="",D188="",D188=0),"",F188/D188)</f>
        <v/>
      </c>
      <c r="P188" s="46" t="str">
        <f aca="false">IF(OR(H188="",D188="",D188=0),"",H188/D188)</f>
        <v/>
      </c>
      <c r="Q188" s="46" t="str">
        <f aca="false">IF(H188="","",IF(I188&lt;&gt;"",I188,IF(D188="","",D188*$E$3)))</f>
        <v/>
      </c>
      <c r="R188" s="46" t="str">
        <f aca="false">IF(H188="","",H188*$E$4)</f>
        <v/>
      </c>
      <c r="S188" s="46" t="str">
        <f aca="false">IF(OR(F188="",H188="",Q188=""),"",H188-F188-Q188-R188)</f>
        <v/>
      </c>
      <c r="T188" s="24" t="str">
        <f aca="false">IF(OR(S188="",H188="",H188=0),"",S188/H188)</f>
        <v/>
      </c>
    </row>
    <row r="189" customFormat="false" ht="15" hidden="false" customHeight="false" outlineLevel="0" collapsed="false">
      <c r="A189" s="30"/>
      <c r="B189" s="30"/>
      <c r="C189" s="30"/>
      <c r="D189" s="27"/>
      <c r="E189" s="43"/>
      <c r="F189" s="41"/>
      <c r="G189" s="43"/>
      <c r="H189" s="41"/>
      <c r="I189" s="41"/>
      <c r="J189" s="30"/>
      <c r="K189" s="30"/>
      <c r="L189" s="30"/>
      <c r="M189" s="39" t="str">
        <f aca="false">IF(OR(E189="",G189=""),"",(G189-E189)/30.44)</f>
        <v/>
      </c>
      <c r="N189" s="46" t="str">
        <f aca="false">IF(OR(F189="",H189=""),"",H189-F189)</f>
        <v/>
      </c>
      <c r="O189" s="46" t="str">
        <f aca="false">IF(OR(F189="",D189="",D189=0),"",F189/D189)</f>
        <v/>
      </c>
      <c r="P189" s="46" t="str">
        <f aca="false">IF(OR(H189="",D189="",D189=0),"",H189/D189)</f>
        <v/>
      </c>
      <c r="Q189" s="46" t="str">
        <f aca="false">IF(H189="","",IF(I189&lt;&gt;"",I189,IF(D189="","",D189*$E$3)))</f>
        <v/>
      </c>
      <c r="R189" s="46" t="str">
        <f aca="false">IF(H189="","",H189*$E$4)</f>
        <v/>
      </c>
      <c r="S189" s="46" t="str">
        <f aca="false">IF(OR(F189="",H189="",Q189=""),"",H189-F189-Q189-R189)</f>
        <v/>
      </c>
      <c r="T189" s="24" t="str">
        <f aca="false">IF(OR(S189="",H189="",H189=0),"",S189/H189)</f>
        <v/>
      </c>
    </row>
    <row r="190" customFormat="false" ht="15" hidden="false" customHeight="false" outlineLevel="0" collapsed="false">
      <c r="A190" s="30"/>
      <c r="B190" s="30"/>
      <c r="C190" s="30"/>
      <c r="D190" s="27"/>
      <c r="E190" s="43"/>
      <c r="F190" s="41"/>
      <c r="G190" s="43"/>
      <c r="H190" s="41"/>
      <c r="I190" s="41"/>
      <c r="J190" s="30"/>
      <c r="K190" s="30"/>
      <c r="L190" s="30"/>
      <c r="M190" s="39" t="str">
        <f aca="false">IF(OR(E190="",G190=""),"",(G190-E190)/30.44)</f>
        <v/>
      </c>
      <c r="N190" s="46" t="str">
        <f aca="false">IF(OR(F190="",H190=""),"",H190-F190)</f>
        <v/>
      </c>
      <c r="O190" s="46" t="str">
        <f aca="false">IF(OR(F190="",D190="",D190=0),"",F190/D190)</f>
        <v/>
      </c>
      <c r="P190" s="46" t="str">
        <f aca="false">IF(OR(H190="",D190="",D190=0),"",H190/D190)</f>
        <v/>
      </c>
      <c r="Q190" s="46" t="str">
        <f aca="false">IF(H190="","",IF(I190&lt;&gt;"",I190,IF(D190="","",D190*$E$3)))</f>
        <v/>
      </c>
      <c r="R190" s="46" t="str">
        <f aca="false">IF(H190="","",H190*$E$4)</f>
        <v/>
      </c>
      <c r="S190" s="46" t="str">
        <f aca="false">IF(OR(F190="",H190="",Q190=""),"",H190-F190-Q190-R190)</f>
        <v/>
      </c>
      <c r="T190" s="24" t="str">
        <f aca="false">IF(OR(S190="",H190="",H190=0),"",S190/H190)</f>
        <v/>
      </c>
    </row>
    <row r="191" customFormat="false" ht="15" hidden="false" customHeight="false" outlineLevel="0" collapsed="false">
      <c r="A191" s="30"/>
      <c r="B191" s="30"/>
      <c r="C191" s="30"/>
      <c r="D191" s="27"/>
      <c r="E191" s="43"/>
      <c r="F191" s="41"/>
      <c r="G191" s="43"/>
      <c r="H191" s="41"/>
      <c r="I191" s="41"/>
      <c r="J191" s="30"/>
      <c r="K191" s="30"/>
      <c r="L191" s="30"/>
      <c r="M191" s="39" t="str">
        <f aca="false">IF(OR(E191="",G191=""),"",(G191-E191)/30.44)</f>
        <v/>
      </c>
      <c r="N191" s="46" t="str">
        <f aca="false">IF(OR(F191="",H191=""),"",H191-F191)</f>
        <v/>
      </c>
      <c r="O191" s="46" t="str">
        <f aca="false">IF(OR(F191="",D191="",D191=0),"",F191/D191)</f>
        <v/>
      </c>
      <c r="P191" s="46" t="str">
        <f aca="false">IF(OR(H191="",D191="",D191=0),"",H191/D191)</f>
        <v/>
      </c>
      <c r="Q191" s="46" t="str">
        <f aca="false">IF(H191="","",IF(I191&lt;&gt;"",I191,IF(D191="","",D191*$E$3)))</f>
        <v/>
      </c>
      <c r="R191" s="46" t="str">
        <f aca="false">IF(H191="","",H191*$E$4)</f>
        <v/>
      </c>
      <c r="S191" s="46" t="str">
        <f aca="false">IF(OR(F191="",H191="",Q191=""),"",H191-F191-Q191-R191)</f>
        <v/>
      </c>
      <c r="T191" s="24" t="str">
        <f aca="false">IF(OR(S191="",H191="",H191=0),"",S191/H191)</f>
        <v/>
      </c>
    </row>
    <row r="192" customFormat="false" ht="15" hidden="false" customHeight="false" outlineLevel="0" collapsed="false">
      <c r="A192" s="30"/>
      <c r="B192" s="30"/>
      <c r="C192" s="30"/>
      <c r="D192" s="27"/>
      <c r="E192" s="43"/>
      <c r="F192" s="41"/>
      <c r="G192" s="43"/>
      <c r="H192" s="41"/>
      <c r="I192" s="41"/>
      <c r="J192" s="30"/>
      <c r="K192" s="30"/>
      <c r="L192" s="30"/>
      <c r="M192" s="39" t="str">
        <f aca="false">IF(OR(E192="",G192=""),"",(G192-E192)/30.44)</f>
        <v/>
      </c>
      <c r="N192" s="46" t="str">
        <f aca="false">IF(OR(F192="",H192=""),"",H192-F192)</f>
        <v/>
      </c>
      <c r="O192" s="46" t="str">
        <f aca="false">IF(OR(F192="",D192="",D192=0),"",F192/D192)</f>
        <v/>
      </c>
      <c r="P192" s="46" t="str">
        <f aca="false">IF(OR(H192="",D192="",D192=0),"",H192/D192)</f>
        <v/>
      </c>
      <c r="Q192" s="46" t="str">
        <f aca="false">IF(H192="","",IF(I192&lt;&gt;"",I192,IF(D192="","",D192*$E$3)))</f>
        <v/>
      </c>
      <c r="R192" s="46" t="str">
        <f aca="false">IF(H192="","",H192*$E$4)</f>
        <v/>
      </c>
      <c r="S192" s="46" t="str">
        <f aca="false">IF(OR(F192="",H192="",Q192=""),"",H192-F192-Q192-R192)</f>
        <v/>
      </c>
      <c r="T192" s="24" t="str">
        <f aca="false">IF(OR(S192="",H192="",H192=0),"",S192/H192)</f>
        <v/>
      </c>
    </row>
    <row r="193" customFormat="false" ht="15" hidden="false" customHeight="false" outlineLevel="0" collapsed="false">
      <c r="A193" s="30"/>
      <c r="B193" s="30"/>
      <c r="C193" s="30"/>
      <c r="D193" s="27"/>
      <c r="E193" s="43"/>
      <c r="F193" s="41"/>
      <c r="G193" s="43"/>
      <c r="H193" s="41"/>
      <c r="I193" s="41"/>
      <c r="J193" s="30"/>
      <c r="K193" s="30"/>
      <c r="L193" s="30"/>
      <c r="M193" s="39" t="str">
        <f aca="false">IF(OR(E193="",G193=""),"",(G193-E193)/30.44)</f>
        <v/>
      </c>
      <c r="N193" s="46" t="str">
        <f aca="false">IF(OR(F193="",H193=""),"",H193-F193)</f>
        <v/>
      </c>
      <c r="O193" s="46" t="str">
        <f aca="false">IF(OR(F193="",D193="",D193=0),"",F193/D193)</f>
        <v/>
      </c>
      <c r="P193" s="46" t="str">
        <f aca="false">IF(OR(H193="",D193="",D193=0),"",H193/D193)</f>
        <v/>
      </c>
      <c r="Q193" s="46" t="str">
        <f aca="false">IF(H193="","",IF(I193&lt;&gt;"",I193,IF(D193="","",D193*$E$3)))</f>
        <v/>
      </c>
      <c r="R193" s="46" t="str">
        <f aca="false">IF(H193="","",H193*$E$4)</f>
        <v/>
      </c>
      <c r="S193" s="46" t="str">
        <f aca="false">IF(OR(F193="",H193="",Q193=""),"",H193-F193-Q193-R193)</f>
        <v/>
      </c>
      <c r="T193" s="24" t="str">
        <f aca="false">IF(OR(S193="",H193="",H193=0),"",S193/H193)</f>
        <v/>
      </c>
    </row>
    <row r="194" customFormat="false" ht="15" hidden="false" customHeight="false" outlineLevel="0" collapsed="false">
      <c r="A194" s="30"/>
      <c r="B194" s="30"/>
      <c r="C194" s="30"/>
      <c r="D194" s="27"/>
      <c r="E194" s="43"/>
      <c r="F194" s="41"/>
      <c r="G194" s="43"/>
      <c r="H194" s="41"/>
      <c r="I194" s="41"/>
      <c r="J194" s="30"/>
      <c r="K194" s="30"/>
      <c r="L194" s="30"/>
      <c r="M194" s="39" t="str">
        <f aca="false">IF(OR(E194="",G194=""),"",(G194-E194)/30.44)</f>
        <v/>
      </c>
      <c r="N194" s="46" t="str">
        <f aca="false">IF(OR(F194="",H194=""),"",H194-F194)</f>
        <v/>
      </c>
      <c r="O194" s="46" t="str">
        <f aca="false">IF(OR(F194="",D194="",D194=0),"",F194/D194)</f>
        <v/>
      </c>
      <c r="P194" s="46" t="str">
        <f aca="false">IF(OR(H194="",D194="",D194=0),"",H194/D194)</f>
        <v/>
      </c>
      <c r="Q194" s="46" t="str">
        <f aca="false">IF(H194="","",IF(I194&lt;&gt;"",I194,IF(D194="","",D194*$E$3)))</f>
        <v/>
      </c>
      <c r="R194" s="46" t="str">
        <f aca="false">IF(H194="","",H194*$E$4)</f>
        <v/>
      </c>
      <c r="S194" s="46" t="str">
        <f aca="false">IF(OR(F194="",H194="",Q194=""),"",H194-F194-Q194-R194)</f>
        <v/>
      </c>
      <c r="T194" s="24" t="str">
        <f aca="false">IF(OR(S194="",H194="",H194=0),"",S194/H194)</f>
        <v/>
      </c>
    </row>
    <row r="195" customFormat="false" ht="15" hidden="false" customHeight="false" outlineLevel="0" collapsed="false">
      <c r="A195" s="30"/>
      <c r="B195" s="30"/>
      <c r="C195" s="30"/>
      <c r="D195" s="27"/>
      <c r="E195" s="43"/>
      <c r="F195" s="41"/>
      <c r="G195" s="43"/>
      <c r="H195" s="41"/>
      <c r="I195" s="41"/>
      <c r="J195" s="30"/>
      <c r="K195" s="30"/>
      <c r="L195" s="30"/>
      <c r="M195" s="39" t="str">
        <f aca="false">IF(OR(E195="",G195=""),"",(G195-E195)/30.44)</f>
        <v/>
      </c>
      <c r="N195" s="46" t="str">
        <f aca="false">IF(OR(F195="",H195=""),"",H195-F195)</f>
        <v/>
      </c>
      <c r="O195" s="46" t="str">
        <f aca="false">IF(OR(F195="",D195="",D195=0),"",F195/D195)</f>
        <v/>
      </c>
      <c r="P195" s="46" t="str">
        <f aca="false">IF(OR(H195="",D195="",D195=0),"",H195/D195)</f>
        <v/>
      </c>
      <c r="Q195" s="46" t="str">
        <f aca="false">IF(H195="","",IF(I195&lt;&gt;"",I195,IF(D195="","",D195*$E$3)))</f>
        <v/>
      </c>
      <c r="R195" s="46" t="str">
        <f aca="false">IF(H195="","",H195*$E$4)</f>
        <v/>
      </c>
      <c r="S195" s="46" t="str">
        <f aca="false">IF(OR(F195="",H195="",Q195=""),"",H195-F195-Q195-R195)</f>
        <v/>
      </c>
      <c r="T195" s="24" t="str">
        <f aca="false">IF(OR(S195="",H195="",H195=0),"",S195/H195)</f>
        <v/>
      </c>
    </row>
    <row r="196" customFormat="false" ht="15" hidden="false" customHeight="false" outlineLevel="0" collapsed="false">
      <c r="A196" s="30"/>
      <c r="B196" s="30"/>
      <c r="C196" s="30"/>
      <c r="D196" s="27"/>
      <c r="E196" s="43"/>
      <c r="F196" s="41"/>
      <c r="G196" s="43"/>
      <c r="H196" s="41"/>
      <c r="I196" s="41"/>
      <c r="J196" s="30"/>
      <c r="K196" s="30"/>
      <c r="L196" s="30"/>
      <c r="M196" s="39" t="str">
        <f aca="false">IF(OR(E196="",G196=""),"",(G196-E196)/30.44)</f>
        <v/>
      </c>
      <c r="N196" s="46" t="str">
        <f aca="false">IF(OR(F196="",H196=""),"",H196-F196)</f>
        <v/>
      </c>
      <c r="O196" s="46" t="str">
        <f aca="false">IF(OR(F196="",D196="",D196=0),"",F196/D196)</f>
        <v/>
      </c>
      <c r="P196" s="46" t="str">
        <f aca="false">IF(OR(H196="",D196="",D196=0),"",H196/D196)</f>
        <v/>
      </c>
      <c r="Q196" s="46" t="str">
        <f aca="false">IF(H196="","",IF(I196&lt;&gt;"",I196,IF(D196="","",D196*$E$3)))</f>
        <v/>
      </c>
      <c r="R196" s="46" t="str">
        <f aca="false">IF(H196="","",H196*$E$4)</f>
        <v/>
      </c>
      <c r="S196" s="46" t="str">
        <f aca="false">IF(OR(F196="",H196="",Q196=""),"",H196-F196-Q196-R196)</f>
        <v/>
      </c>
      <c r="T196" s="24" t="str">
        <f aca="false">IF(OR(S196="",H196="",H196=0),"",S196/H196)</f>
        <v/>
      </c>
    </row>
    <row r="197" customFormat="false" ht="15" hidden="false" customHeight="false" outlineLevel="0" collapsed="false">
      <c r="A197" s="30"/>
      <c r="B197" s="30"/>
      <c r="C197" s="30"/>
      <c r="D197" s="27"/>
      <c r="E197" s="43"/>
      <c r="F197" s="41"/>
      <c r="G197" s="43"/>
      <c r="H197" s="41"/>
      <c r="I197" s="41"/>
      <c r="J197" s="30"/>
      <c r="K197" s="30"/>
      <c r="L197" s="30"/>
      <c r="M197" s="39" t="str">
        <f aca="false">IF(OR(E197="",G197=""),"",(G197-E197)/30.44)</f>
        <v/>
      </c>
      <c r="N197" s="46" t="str">
        <f aca="false">IF(OR(F197="",H197=""),"",H197-F197)</f>
        <v/>
      </c>
      <c r="O197" s="46" t="str">
        <f aca="false">IF(OR(F197="",D197="",D197=0),"",F197/D197)</f>
        <v/>
      </c>
      <c r="P197" s="46" t="str">
        <f aca="false">IF(OR(H197="",D197="",D197=0),"",H197/D197)</f>
        <v/>
      </c>
      <c r="Q197" s="46" t="str">
        <f aca="false">IF(H197="","",IF(I197&lt;&gt;"",I197,IF(D197="","",D197*$E$3)))</f>
        <v/>
      </c>
      <c r="R197" s="46" t="str">
        <f aca="false">IF(H197="","",H197*$E$4)</f>
        <v/>
      </c>
      <c r="S197" s="46" t="str">
        <f aca="false">IF(OR(F197="",H197="",Q197=""),"",H197-F197-Q197-R197)</f>
        <v/>
      </c>
      <c r="T197" s="24" t="str">
        <f aca="false">IF(OR(S197="",H197="",H197=0),"",S197/H197)</f>
        <v/>
      </c>
    </row>
    <row r="198" customFormat="false" ht="15" hidden="false" customHeight="false" outlineLevel="0" collapsed="false">
      <c r="A198" s="30"/>
      <c r="B198" s="30"/>
      <c r="C198" s="30"/>
      <c r="D198" s="27"/>
      <c r="E198" s="43"/>
      <c r="F198" s="41"/>
      <c r="G198" s="43"/>
      <c r="H198" s="41"/>
      <c r="I198" s="41"/>
      <c r="J198" s="30"/>
      <c r="K198" s="30"/>
      <c r="L198" s="30"/>
      <c r="M198" s="39" t="str">
        <f aca="false">IF(OR(E198="",G198=""),"",(G198-E198)/30.44)</f>
        <v/>
      </c>
      <c r="N198" s="46" t="str">
        <f aca="false">IF(OR(F198="",H198=""),"",H198-F198)</f>
        <v/>
      </c>
      <c r="O198" s="46" t="str">
        <f aca="false">IF(OR(F198="",D198="",D198=0),"",F198/D198)</f>
        <v/>
      </c>
      <c r="P198" s="46" t="str">
        <f aca="false">IF(OR(H198="",D198="",D198=0),"",H198/D198)</f>
        <v/>
      </c>
      <c r="Q198" s="46" t="str">
        <f aca="false">IF(H198="","",IF(I198&lt;&gt;"",I198,IF(D198="","",D198*$E$3)))</f>
        <v/>
      </c>
      <c r="R198" s="46" t="str">
        <f aca="false">IF(H198="","",H198*$E$4)</f>
        <v/>
      </c>
      <c r="S198" s="46" t="str">
        <f aca="false">IF(OR(F198="",H198="",Q198=""),"",H198-F198-Q198-R198)</f>
        <v/>
      </c>
      <c r="T198" s="24" t="str">
        <f aca="false">IF(OR(S198="",H198="",H198=0),"",S198/H198)</f>
        <v/>
      </c>
    </row>
    <row r="199" customFormat="false" ht="15" hidden="false" customHeight="false" outlineLevel="0" collapsed="false">
      <c r="A199" s="30"/>
      <c r="B199" s="30"/>
      <c r="C199" s="30"/>
      <c r="D199" s="27"/>
      <c r="E199" s="43"/>
      <c r="F199" s="41"/>
      <c r="G199" s="43"/>
      <c r="H199" s="41"/>
      <c r="I199" s="41"/>
      <c r="J199" s="30"/>
      <c r="K199" s="30"/>
      <c r="L199" s="30"/>
      <c r="M199" s="39" t="str">
        <f aca="false">IF(OR(E199="",G199=""),"",(G199-E199)/30.44)</f>
        <v/>
      </c>
      <c r="N199" s="46" t="str">
        <f aca="false">IF(OR(F199="",H199=""),"",H199-F199)</f>
        <v/>
      </c>
      <c r="O199" s="46" t="str">
        <f aca="false">IF(OR(F199="",D199="",D199=0),"",F199/D199)</f>
        <v/>
      </c>
      <c r="P199" s="46" t="str">
        <f aca="false">IF(OR(H199="",D199="",D199=0),"",H199/D199)</f>
        <v/>
      </c>
      <c r="Q199" s="46" t="str">
        <f aca="false">IF(H199="","",IF(I199&lt;&gt;"",I199,IF(D199="","",D199*$E$3)))</f>
        <v/>
      </c>
      <c r="R199" s="46" t="str">
        <f aca="false">IF(H199="","",H199*$E$4)</f>
        <v/>
      </c>
      <c r="S199" s="46" t="str">
        <f aca="false">IF(OR(F199="",H199="",Q199=""),"",H199-F199-Q199-R199)</f>
        <v/>
      </c>
      <c r="T199" s="24" t="str">
        <f aca="false">IF(OR(S199="",H199="",H199=0),"",S199/H199)</f>
        <v/>
      </c>
    </row>
    <row r="200" customFormat="false" ht="15" hidden="false" customHeight="false" outlineLevel="0" collapsed="false">
      <c r="A200" s="30"/>
      <c r="B200" s="30"/>
      <c r="C200" s="30"/>
      <c r="D200" s="27"/>
      <c r="E200" s="43"/>
      <c r="F200" s="41"/>
      <c r="G200" s="43"/>
      <c r="H200" s="41"/>
      <c r="I200" s="41"/>
      <c r="J200" s="30"/>
      <c r="K200" s="30"/>
      <c r="L200" s="30"/>
      <c r="M200" s="39" t="str">
        <f aca="false">IF(OR(E200="",G200=""),"",(G200-E200)/30.44)</f>
        <v/>
      </c>
      <c r="N200" s="46" t="str">
        <f aca="false">IF(OR(F200="",H200=""),"",H200-F200)</f>
        <v/>
      </c>
      <c r="O200" s="46" t="str">
        <f aca="false">IF(OR(F200="",D200="",D200=0),"",F200/D200)</f>
        <v/>
      </c>
      <c r="P200" s="46" t="str">
        <f aca="false">IF(OR(H200="",D200="",D200=0),"",H200/D200)</f>
        <v/>
      </c>
      <c r="Q200" s="46" t="str">
        <f aca="false">IF(H200="","",IF(I200&lt;&gt;"",I200,IF(D200="","",D200*$E$3)))</f>
        <v/>
      </c>
      <c r="R200" s="46" t="str">
        <f aca="false">IF(H200="","",H200*$E$4)</f>
        <v/>
      </c>
      <c r="S200" s="46" t="str">
        <f aca="false">IF(OR(F200="",H200="",Q200=""),"",H200-F200-Q200-R200)</f>
        <v/>
      </c>
      <c r="T200" s="24" t="str">
        <f aca="false">IF(OR(S200="",H200="",H200=0),"",S200/H200)</f>
        <v/>
      </c>
    </row>
    <row r="201" customFormat="false" ht="15" hidden="false" customHeight="false" outlineLevel="0" collapsed="false">
      <c r="A201" s="30"/>
      <c r="B201" s="30"/>
      <c r="C201" s="30"/>
      <c r="D201" s="27"/>
      <c r="E201" s="43"/>
      <c r="F201" s="41"/>
      <c r="G201" s="43"/>
      <c r="H201" s="41"/>
      <c r="I201" s="41"/>
      <c r="J201" s="30"/>
      <c r="K201" s="30"/>
      <c r="L201" s="30"/>
      <c r="M201" s="39" t="str">
        <f aca="false">IF(OR(E201="",G201=""),"",(G201-E201)/30.44)</f>
        <v/>
      </c>
      <c r="N201" s="46" t="str">
        <f aca="false">IF(OR(F201="",H201=""),"",H201-F201)</f>
        <v/>
      </c>
      <c r="O201" s="46" t="str">
        <f aca="false">IF(OR(F201="",D201="",D201=0),"",F201/D201)</f>
        <v/>
      </c>
      <c r="P201" s="46" t="str">
        <f aca="false">IF(OR(H201="",D201="",D201=0),"",H201/D201)</f>
        <v/>
      </c>
      <c r="Q201" s="46" t="str">
        <f aca="false">IF(H201="","",IF(I201&lt;&gt;"",I201,IF(D201="","",D201*$E$3)))</f>
        <v/>
      </c>
      <c r="R201" s="46" t="str">
        <f aca="false">IF(H201="","",H201*$E$4)</f>
        <v/>
      </c>
      <c r="S201" s="46" t="str">
        <f aca="false">IF(OR(F201="",H201="",Q201=""),"",H201-F201-Q201-R201)</f>
        <v/>
      </c>
      <c r="T201" s="24" t="str">
        <f aca="false">IF(OR(S201="",H201="",H201=0),"",S201/H201)</f>
        <v/>
      </c>
    </row>
    <row r="202" customFormat="false" ht="15" hidden="false" customHeight="false" outlineLevel="0" collapsed="false">
      <c r="A202" s="30"/>
      <c r="B202" s="30"/>
      <c r="C202" s="30"/>
      <c r="D202" s="27"/>
      <c r="E202" s="43"/>
      <c r="F202" s="41"/>
      <c r="G202" s="43"/>
      <c r="H202" s="41"/>
      <c r="I202" s="41"/>
      <c r="J202" s="30"/>
      <c r="K202" s="30"/>
      <c r="L202" s="30"/>
      <c r="M202" s="39" t="str">
        <f aca="false">IF(OR(E202="",G202=""),"",(G202-E202)/30.44)</f>
        <v/>
      </c>
      <c r="N202" s="46" t="str">
        <f aca="false">IF(OR(F202="",H202=""),"",H202-F202)</f>
        <v/>
      </c>
      <c r="O202" s="46" t="str">
        <f aca="false">IF(OR(F202="",D202="",D202=0),"",F202/D202)</f>
        <v/>
      </c>
      <c r="P202" s="46" t="str">
        <f aca="false">IF(OR(H202="",D202="",D202=0),"",H202/D202)</f>
        <v/>
      </c>
      <c r="Q202" s="46" t="str">
        <f aca="false">IF(H202="","",IF(I202&lt;&gt;"",I202,IF(D202="","",D202*$E$3)))</f>
        <v/>
      </c>
      <c r="R202" s="46" t="str">
        <f aca="false">IF(H202="","",H202*$E$4)</f>
        <v/>
      </c>
      <c r="S202" s="46" t="str">
        <f aca="false">IF(OR(F202="",H202="",Q202=""),"",H202-F202-Q202-R202)</f>
        <v/>
      </c>
      <c r="T202" s="24" t="str">
        <f aca="false">IF(OR(S202="",H202="",H202=0),"",S202/H202)</f>
        <v/>
      </c>
    </row>
    <row r="203" customFormat="false" ht="15" hidden="false" customHeight="false" outlineLevel="0" collapsed="false">
      <c r="A203" s="30"/>
      <c r="B203" s="30"/>
      <c r="C203" s="30"/>
      <c r="D203" s="27"/>
      <c r="E203" s="43"/>
      <c r="F203" s="41"/>
      <c r="G203" s="43"/>
      <c r="H203" s="41"/>
      <c r="I203" s="41"/>
      <c r="J203" s="30"/>
      <c r="K203" s="30"/>
      <c r="L203" s="30"/>
      <c r="M203" s="39" t="str">
        <f aca="false">IF(OR(E203="",G203=""),"",(G203-E203)/30.44)</f>
        <v/>
      </c>
      <c r="N203" s="46" t="str">
        <f aca="false">IF(OR(F203="",H203=""),"",H203-F203)</f>
        <v/>
      </c>
      <c r="O203" s="46" t="str">
        <f aca="false">IF(OR(F203="",D203="",D203=0),"",F203/D203)</f>
        <v/>
      </c>
      <c r="P203" s="46" t="str">
        <f aca="false">IF(OR(H203="",D203="",D203=0),"",H203/D203)</f>
        <v/>
      </c>
      <c r="Q203" s="46" t="str">
        <f aca="false">IF(H203="","",IF(I203&lt;&gt;"",I203,IF(D203="","",D203*$E$3)))</f>
        <v/>
      </c>
      <c r="R203" s="46" t="str">
        <f aca="false">IF(H203="","",H203*$E$4)</f>
        <v/>
      </c>
      <c r="S203" s="46" t="str">
        <f aca="false">IF(OR(F203="",H203="",Q203=""),"",H203-F203-Q203-R203)</f>
        <v/>
      </c>
      <c r="T203" s="24" t="str">
        <f aca="false">IF(OR(S203="",H203="",H203=0),"",S203/H203)</f>
        <v/>
      </c>
    </row>
    <row r="204" customFormat="false" ht="15" hidden="false" customHeight="false" outlineLevel="0" collapsed="false">
      <c r="A204" s="30"/>
      <c r="B204" s="30"/>
      <c r="C204" s="30"/>
      <c r="D204" s="27"/>
      <c r="E204" s="43"/>
      <c r="F204" s="41"/>
      <c r="G204" s="43"/>
      <c r="H204" s="41"/>
      <c r="I204" s="41"/>
      <c r="J204" s="30"/>
      <c r="K204" s="30"/>
      <c r="L204" s="30"/>
      <c r="M204" s="39" t="str">
        <f aca="false">IF(OR(E204="",G204=""),"",(G204-E204)/30.44)</f>
        <v/>
      </c>
      <c r="N204" s="46" t="str">
        <f aca="false">IF(OR(F204="",H204=""),"",H204-F204)</f>
        <v/>
      </c>
      <c r="O204" s="46" t="str">
        <f aca="false">IF(OR(F204="",D204="",D204=0),"",F204/D204)</f>
        <v/>
      </c>
      <c r="P204" s="46" t="str">
        <f aca="false">IF(OR(H204="",D204="",D204=0),"",H204/D204)</f>
        <v/>
      </c>
      <c r="Q204" s="46" t="str">
        <f aca="false">IF(H204="","",IF(I204&lt;&gt;"",I204,IF(D204="","",D204*$E$3)))</f>
        <v/>
      </c>
      <c r="R204" s="46" t="str">
        <f aca="false">IF(H204="","",H204*$E$4)</f>
        <v/>
      </c>
      <c r="S204" s="46" t="str">
        <f aca="false">IF(OR(F204="",H204="",Q204=""),"",H204-F204-Q204-R204)</f>
        <v/>
      </c>
      <c r="T204" s="24" t="str">
        <f aca="false">IF(OR(S204="",H204="",H204=0),"",S204/H204)</f>
        <v/>
      </c>
    </row>
    <row r="205" customFormat="false" ht="15" hidden="false" customHeight="false" outlineLevel="0" collapsed="false">
      <c r="A205" s="30"/>
      <c r="B205" s="30"/>
      <c r="C205" s="30"/>
      <c r="D205" s="27"/>
      <c r="E205" s="43"/>
      <c r="F205" s="41"/>
      <c r="G205" s="43"/>
      <c r="H205" s="41"/>
      <c r="I205" s="41"/>
      <c r="J205" s="30"/>
      <c r="K205" s="30"/>
      <c r="L205" s="30"/>
      <c r="M205" s="39" t="str">
        <f aca="false">IF(OR(E205="",G205=""),"",(G205-E205)/30.44)</f>
        <v/>
      </c>
      <c r="N205" s="46" t="str">
        <f aca="false">IF(OR(F205="",H205=""),"",H205-F205)</f>
        <v/>
      </c>
      <c r="O205" s="46" t="str">
        <f aca="false">IF(OR(F205="",D205="",D205=0),"",F205/D205)</f>
        <v/>
      </c>
      <c r="P205" s="46" t="str">
        <f aca="false">IF(OR(H205="",D205="",D205=0),"",H205/D205)</f>
        <v/>
      </c>
      <c r="Q205" s="46" t="str">
        <f aca="false">IF(H205="","",IF(I205&lt;&gt;"",I205,IF(D205="","",D205*$E$3)))</f>
        <v/>
      </c>
      <c r="R205" s="46" t="str">
        <f aca="false">IF(H205="","",H205*$E$4)</f>
        <v/>
      </c>
      <c r="S205" s="46" t="str">
        <f aca="false">IF(OR(F205="",H205="",Q205=""),"",H205-F205-Q205-R205)</f>
        <v/>
      </c>
      <c r="T205" s="24" t="str">
        <f aca="false">IF(OR(S205="",H205="",H205=0),"",S205/H205)</f>
        <v/>
      </c>
    </row>
    <row r="206" customFormat="false" ht="15" hidden="false" customHeight="false" outlineLevel="0" collapsed="false">
      <c r="A206" s="30"/>
      <c r="B206" s="30"/>
      <c r="C206" s="30"/>
      <c r="D206" s="27"/>
      <c r="E206" s="43"/>
      <c r="F206" s="41"/>
      <c r="G206" s="43"/>
      <c r="H206" s="41"/>
      <c r="I206" s="41"/>
      <c r="J206" s="30"/>
      <c r="K206" s="30"/>
      <c r="L206" s="30"/>
      <c r="M206" s="39" t="str">
        <f aca="false">IF(OR(E206="",G206=""),"",(G206-E206)/30.44)</f>
        <v/>
      </c>
      <c r="N206" s="46" t="str">
        <f aca="false">IF(OR(F206="",H206=""),"",H206-F206)</f>
        <v/>
      </c>
      <c r="O206" s="46" t="str">
        <f aca="false">IF(OR(F206="",D206="",D206=0),"",F206/D206)</f>
        <v/>
      </c>
      <c r="P206" s="46" t="str">
        <f aca="false">IF(OR(H206="",D206="",D206=0),"",H206/D206)</f>
        <v/>
      </c>
      <c r="Q206" s="46" t="str">
        <f aca="false">IF(H206="","",IF(I206&lt;&gt;"",I206,IF(D206="","",D206*$E$3)))</f>
        <v/>
      </c>
      <c r="R206" s="46" t="str">
        <f aca="false">IF(H206="","",H206*$E$4)</f>
        <v/>
      </c>
      <c r="S206" s="46" t="str">
        <f aca="false">IF(OR(F206="",H206="",Q206=""),"",H206-F206-Q206-R206)</f>
        <v/>
      </c>
      <c r="T206" s="24" t="str">
        <f aca="false">IF(OR(S206="",H206="",H206=0),"",S206/H206)</f>
        <v/>
      </c>
    </row>
    <row r="207" customFormat="false" ht="15" hidden="false" customHeight="false" outlineLevel="0" collapsed="false">
      <c r="A207" s="30"/>
      <c r="B207" s="30"/>
      <c r="C207" s="30"/>
      <c r="D207" s="27"/>
      <c r="E207" s="43"/>
      <c r="F207" s="41"/>
      <c r="G207" s="43"/>
      <c r="H207" s="41"/>
      <c r="I207" s="41"/>
      <c r="J207" s="30"/>
      <c r="K207" s="30"/>
      <c r="L207" s="30"/>
      <c r="M207" s="39" t="str">
        <f aca="false">IF(OR(E207="",G207=""),"",(G207-E207)/30.44)</f>
        <v/>
      </c>
      <c r="N207" s="46" t="str">
        <f aca="false">IF(OR(F207="",H207=""),"",H207-F207)</f>
        <v/>
      </c>
      <c r="O207" s="46" t="str">
        <f aca="false">IF(OR(F207="",D207="",D207=0),"",F207/D207)</f>
        <v/>
      </c>
      <c r="P207" s="46" t="str">
        <f aca="false">IF(OR(H207="",D207="",D207=0),"",H207/D207)</f>
        <v/>
      </c>
      <c r="Q207" s="46" t="str">
        <f aca="false">IF(H207="","",IF(I207&lt;&gt;"",I207,IF(D207="","",D207*$E$3)))</f>
        <v/>
      </c>
      <c r="R207" s="46" t="str">
        <f aca="false">IF(H207="","",H207*$E$4)</f>
        <v/>
      </c>
      <c r="S207" s="46" t="str">
        <f aca="false">IF(OR(F207="",H207="",Q207=""),"",H207-F207-Q207-R207)</f>
        <v/>
      </c>
      <c r="T207" s="24" t="str">
        <f aca="false">IF(OR(S207="",H207="",H207=0),"",S207/H207)</f>
        <v/>
      </c>
    </row>
    <row r="208" customFormat="false" ht="15" hidden="false" customHeight="false" outlineLevel="0" collapsed="false">
      <c r="A208" s="30"/>
      <c r="B208" s="30"/>
      <c r="C208" s="30"/>
      <c r="D208" s="27"/>
      <c r="E208" s="43"/>
      <c r="F208" s="41"/>
      <c r="G208" s="43"/>
      <c r="H208" s="41"/>
      <c r="I208" s="41"/>
      <c r="J208" s="30"/>
      <c r="K208" s="30"/>
      <c r="L208" s="30"/>
      <c r="M208" s="39" t="str">
        <f aca="false">IF(OR(E208="",G208=""),"",(G208-E208)/30.44)</f>
        <v/>
      </c>
      <c r="N208" s="46" t="str">
        <f aca="false">IF(OR(F208="",H208=""),"",H208-F208)</f>
        <v/>
      </c>
      <c r="O208" s="46" t="str">
        <f aca="false">IF(OR(F208="",D208="",D208=0),"",F208/D208)</f>
        <v/>
      </c>
      <c r="P208" s="46" t="str">
        <f aca="false">IF(OR(H208="",D208="",D208=0),"",H208/D208)</f>
        <v/>
      </c>
      <c r="Q208" s="46" t="str">
        <f aca="false">IF(H208="","",IF(I208&lt;&gt;"",I208,IF(D208="","",D208*$E$3)))</f>
        <v/>
      </c>
      <c r="R208" s="46" t="str">
        <f aca="false">IF(H208="","",H208*$E$4)</f>
        <v/>
      </c>
      <c r="S208" s="46" t="str">
        <f aca="false">IF(OR(F208="",H208="",Q208=""),"",H208-F208-Q208-R208)</f>
        <v/>
      </c>
      <c r="T208" s="24" t="str">
        <f aca="false">IF(OR(S208="",H208="",H208=0),"",S208/H208)</f>
        <v/>
      </c>
    </row>
    <row r="209" customFormat="false" ht="15" hidden="false" customHeight="false" outlineLevel="0" collapsed="false">
      <c r="A209" s="30"/>
      <c r="B209" s="30"/>
      <c r="C209" s="30"/>
      <c r="D209" s="27"/>
      <c r="E209" s="43"/>
      <c r="F209" s="41"/>
      <c r="G209" s="43"/>
      <c r="H209" s="41"/>
      <c r="I209" s="41"/>
      <c r="J209" s="30"/>
      <c r="K209" s="30"/>
      <c r="L209" s="30"/>
      <c r="M209" s="39" t="str">
        <f aca="false">IF(OR(E209="",G209=""),"",(G209-E209)/30.44)</f>
        <v/>
      </c>
      <c r="N209" s="46" t="str">
        <f aca="false">IF(OR(F209="",H209=""),"",H209-F209)</f>
        <v/>
      </c>
      <c r="O209" s="46" t="str">
        <f aca="false">IF(OR(F209="",D209="",D209=0),"",F209/D209)</f>
        <v/>
      </c>
      <c r="P209" s="46" t="str">
        <f aca="false">IF(OR(H209="",D209="",D209=0),"",H209/D209)</f>
        <v/>
      </c>
      <c r="Q209" s="46" t="str">
        <f aca="false">IF(H209="","",IF(I209&lt;&gt;"",I209,IF(D209="","",D209*$E$3)))</f>
        <v/>
      </c>
      <c r="R209" s="46" t="str">
        <f aca="false">IF(H209="","",H209*$E$4)</f>
        <v/>
      </c>
      <c r="S209" s="46" t="str">
        <f aca="false">IF(OR(F209="",H209="",Q209=""),"",H209-F209-Q209-R209)</f>
        <v/>
      </c>
      <c r="T209" s="24" t="str">
        <f aca="false">IF(OR(S209="",H209="",H209=0),"",S209/H209)</f>
        <v/>
      </c>
    </row>
    <row r="210" customFormat="false" ht="15" hidden="false" customHeight="false" outlineLevel="0" collapsed="false">
      <c r="A210" s="30"/>
      <c r="B210" s="30"/>
      <c r="C210" s="30"/>
      <c r="D210" s="27"/>
      <c r="E210" s="43"/>
      <c r="F210" s="41"/>
      <c r="G210" s="43"/>
      <c r="H210" s="41"/>
      <c r="I210" s="41"/>
      <c r="J210" s="30"/>
      <c r="K210" s="30"/>
      <c r="L210" s="30"/>
      <c r="M210" s="39" t="str">
        <f aca="false">IF(OR(E210="",G210=""),"",(G210-E210)/30.44)</f>
        <v/>
      </c>
      <c r="N210" s="46" t="str">
        <f aca="false">IF(OR(F210="",H210=""),"",H210-F210)</f>
        <v/>
      </c>
      <c r="O210" s="46" t="str">
        <f aca="false">IF(OR(F210="",D210="",D210=0),"",F210/D210)</f>
        <v/>
      </c>
      <c r="P210" s="46" t="str">
        <f aca="false">IF(OR(H210="",D210="",D210=0),"",H210/D210)</f>
        <v/>
      </c>
      <c r="Q210" s="46" t="str">
        <f aca="false">IF(H210="","",IF(I210&lt;&gt;"",I210,IF(D210="","",D210*$E$3)))</f>
        <v/>
      </c>
      <c r="R210" s="46" t="str">
        <f aca="false">IF(H210="","",H210*$E$4)</f>
        <v/>
      </c>
      <c r="S210" s="46" t="str">
        <f aca="false">IF(OR(F210="",H210="",Q210=""),"",H210-F210-Q210-R210)</f>
        <v/>
      </c>
      <c r="T210" s="24" t="str">
        <f aca="false">IF(OR(S210="",H210="",H210=0),"",S210/H210)</f>
        <v/>
      </c>
    </row>
    <row r="211" customFormat="false" ht="15" hidden="false" customHeight="false" outlineLevel="0" collapsed="false">
      <c r="A211" s="30"/>
      <c r="B211" s="30"/>
      <c r="C211" s="30"/>
      <c r="D211" s="27"/>
      <c r="E211" s="43"/>
      <c r="F211" s="41"/>
      <c r="G211" s="43"/>
      <c r="H211" s="41"/>
      <c r="I211" s="41"/>
      <c r="J211" s="30"/>
      <c r="K211" s="30"/>
      <c r="L211" s="30"/>
      <c r="M211" s="39" t="str">
        <f aca="false">IF(OR(E211="",G211=""),"",(G211-E211)/30.44)</f>
        <v/>
      </c>
      <c r="N211" s="46" t="str">
        <f aca="false">IF(OR(F211="",H211=""),"",H211-F211)</f>
        <v/>
      </c>
      <c r="O211" s="46" t="str">
        <f aca="false">IF(OR(F211="",D211="",D211=0),"",F211/D211)</f>
        <v/>
      </c>
      <c r="P211" s="46" t="str">
        <f aca="false">IF(OR(H211="",D211="",D211=0),"",H211/D211)</f>
        <v/>
      </c>
      <c r="Q211" s="46" t="str">
        <f aca="false">IF(H211="","",IF(I211&lt;&gt;"",I211,IF(D211="","",D211*$E$3)))</f>
        <v/>
      </c>
      <c r="R211" s="46" t="str">
        <f aca="false">IF(H211="","",H211*$E$4)</f>
        <v/>
      </c>
      <c r="S211" s="46" t="str">
        <f aca="false">IF(OR(F211="",H211="",Q211=""),"",H211-F211-Q211-R211)</f>
        <v/>
      </c>
      <c r="T211" s="24" t="str">
        <f aca="false">IF(OR(S211="",H211="",H211=0),"",S211/H211)</f>
        <v/>
      </c>
    </row>
    <row r="212" customFormat="false" ht="15" hidden="false" customHeight="false" outlineLevel="0" collapsed="false">
      <c r="A212" s="30"/>
      <c r="B212" s="30"/>
      <c r="C212" s="30"/>
      <c r="D212" s="27"/>
      <c r="E212" s="43"/>
      <c r="F212" s="41"/>
      <c r="G212" s="43"/>
      <c r="H212" s="41"/>
      <c r="I212" s="41"/>
      <c r="J212" s="30"/>
      <c r="K212" s="30"/>
      <c r="L212" s="30"/>
      <c r="M212" s="39" t="str">
        <f aca="false">IF(OR(E212="",G212=""),"",(G212-E212)/30.44)</f>
        <v/>
      </c>
      <c r="N212" s="46" t="str">
        <f aca="false">IF(OR(F212="",H212=""),"",H212-F212)</f>
        <v/>
      </c>
      <c r="O212" s="46" t="str">
        <f aca="false">IF(OR(F212="",D212="",D212=0),"",F212/D212)</f>
        <v/>
      </c>
      <c r="P212" s="46" t="str">
        <f aca="false">IF(OR(H212="",D212="",D212=0),"",H212/D212)</f>
        <v/>
      </c>
      <c r="Q212" s="46" t="str">
        <f aca="false">IF(H212="","",IF(I212&lt;&gt;"",I212,IF(D212="","",D212*$E$3)))</f>
        <v/>
      </c>
      <c r="R212" s="46" t="str">
        <f aca="false">IF(H212="","",H212*$E$4)</f>
        <v/>
      </c>
      <c r="S212" s="46" t="str">
        <f aca="false">IF(OR(F212="",H212="",Q212=""),"",H212-F212-Q212-R212)</f>
        <v/>
      </c>
      <c r="T212" s="24" t="str">
        <f aca="false">IF(OR(S212="",H212="",H212=0),"",S212/H212)</f>
        <v/>
      </c>
    </row>
    <row r="213" customFormat="false" ht="15" hidden="false" customHeight="false" outlineLevel="0" collapsed="false">
      <c r="A213" s="30"/>
      <c r="B213" s="30"/>
      <c r="C213" s="30"/>
      <c r="D213" s="27"/>
      <c r="E213" s="43"/>
      <c r="F213" s="41"/>
      <c r="G213" s="43"/>
      <c r="H213" s="41"/>
      <c r="I213" s="41"/>
      <c r="J213" s="30"/>
      <c r="K213" s="30"/>
      <c r="L213" s="30"/>
      <c r="M213" s="39" t="str">
        <f aca="false">IF(OR(E213="",G213=""),"",(G213-E213)/30.44)</f>
        <v/>
      </c>
      <c r="N213" s="46" t="str">
        <f aca="false">IF(OR(F213="",H213=""),"",H213-F213)</f>
        <v/>
      </c>
      <c r="O213" s="46" t="str">
        <f aca="false">IF(OR(F213="",D213="",D213=0),"",F213/D213)</f>
        <v/>
      </c>
      <c r="P213" s="46" t="str">
        <f aca="false">IF(OR(H213="",D213="",D213=0),"",H213/D213)</f>
        <v/>
      </c>
      <c r="Q213" s="46" t="str">
        <f aca="false">IF(H213="","",IF(I213&lt;&gt;"",I213,IF(D213="","",D213*$E$3)))</f>
        <v/>
      </c>
      <c r="R213" s="46" t="str">
        <f aca="false">IF(H213="","",H213*$E$4)</f>
        <v/>
      </c>
      <c r="S213" s="46" t="str">
        <f aca="false">IF(OR(F213="",H213="",Q213=""),"",H213-F213-Q213-R213)</f>
        <v/>
      </c>
      <c r="T213" s="24" t="str">
        <f aca="false">IF(OR(S213="",H213="",H213=0),"",S213/H213)</f>
        <v/>
      </c>
    </row>
    <row r="214" customFormat="false" ht="15" hidden="false" customHeight="false" outlineLevel="0" collapsed="false">
      <c r="A214" s="30"/>
      <c r="B214" s="30"/>
      <c r="C214" s="30"/>
      <c r="D214" s="27"/>
      <c r="E214" s="43"/>
      <c r="F214" s="41"/>
      <c r="G214" s="43"/>
      <c r="H214" s="41"/>
      <c r="I214" s="41"/>
      <c r="J214" s="30"/>
      <c r="K214" s="30"/>
      <c r="L214" s="30"/>
      <c r="M214" s="39" t="str">
        <f aca="false">IF(OR(E214="",G214=""),"",(G214-E214)/30.44)</f>
        <v/>
      </c>
      <c r="N214" s="46" t="str">
        <f aca="false">IF(OR(F214="",H214=""),"",H214-F214)</f>
        <v/>
      </c>
      <c r="O214" s="46" t="str">
        <f aca="false">IF(OR(F214="",D214="",D214=0),"",F214/D214)</f>
        <v/>
      </c>
      <c r="P214" s="46" t="str">
        <f aca="false">IF(OR(H214="",D214="",D214=0),"",H214/D214)</f>
        <v/>
      </c>
      <c r="Q214" s="46" t="str">
        <f aca="false">IF(H214="","",IF(I214&lt;&gt;"",I214,IF(D214="","",D214*$E$3)))</f>
        <v/>
      </c>
      <c r="R214" s="46" t="str">
        <f aca="false">IF(H214="","",H214*$E$4)</f>
        <v/>
      </c>
      <c r="S214" s="46" t="str">
        <f aca="false">IF(OR(F214="",H214="",Q214=""),"",H214-F214-Q214-R214)</f>
        <v/>
      </c>
      <c r="T214" s="24" t="str">
        <f aca="false">IF(OR(S214="",H214="",H214=0),"",S214/H214)</f>
        <v/>
      </c>
    </row>
    <row r="215" customFormat="false" ht="15" hidden="false" customHeight="false" outlineLevel="0" collapsed="false">
      <c r="A215" s="30"/>
      <c r="B215" s="30"/>
      <c r="C215" s="30"/>
      <c r="D215" s="27"/>
      <c r="E215" s="43"/>
      <c r="F215" s="41"/>
      <c r="G215" s="43"/>
      <c r="H215" s="41"/>
      <c r="I215" s="41"/>
      <c r="J215" s="30"/>
      <c r="K215" s="30"/>
      <c r="L215" s="30"/>
      <c r="M215" s="39" t="str">
        <f aca="false">IF(OR(E215="",G215=""),"",(G215-E215)/30.44)</f>
        <v/>
      </c>
      <c r="N215" s="46" t="str">
        <f aca="false">IF(OR(F215="",H215=""),"",H215-F215)</f>
        <v/>
      </c>
      <c r="O215" s="46" t="str">
        <f aca="false">IF(OR(F215="",D215="",D215=0),"",F215/D215)</f>
        <v/>
      </c>
      <c r="P215" s="46" t="str">
        <f aca="false">IF(OR(H215="",D215="",D215=0),"",H215/D215)</f>
        <v/>
      </c>
      <c r="Q215" s="46" t="str">
        <f aca="false">IF(H215="","",IF(I215&lt;&gt;"",I215,IF(D215="","",D215*$E$3)))</f>
        <v/>
      </c>
      <c r="R215" s="46" t="str">
        <f aca="false">IF(H215="","",H215*$E$4)</f>
        <v/>
      </c>
      <c r="S215" s="46" t="str">
        <f aca="false">IF(OR(F215="",H215="",Q215=""),"",H215-F215-Q215-R215)</f>
        <v/>
      </c>
      <c r="T215" s="24" t="str">
        <f aca="false">IF(OR(S215="",H215="",H215=0),"",S215/H215)</f>
        <v/>
      </c>
    </row>
    <row r="216" customFormat="false" ht="15" hidden="false" customHeight="false" outlineLevel="0" collapsed="false">
      <c r="A216" s="30"/>
      <c r="B216" s="30"/>
      <c r="C216" s="30"/>
      <c r="D216" s="27"/>
      <c r="E216" s="43"/>
      <c r="F216" s="41"/>
      <c r="G216" s="43"/>
      <c r="H216" s="41"/>
      <c r="I216" s="41"/>
      <c r="J216" s="30"/>
      <c r="K216" s="30"/>
      <c r="L216" s="30"/>
      <c r="M216" s="39" t="str">
        <f aca="false">IF(OR(E216="",G216=""),"",(G216-E216)/30.44)</f>
        <v/>
      </c>
      <c r="N216" s="46" t="str">
        <f aca="false">IF(OR(F216="",H216=""),"",H216-F216)</f>
        <v/>
      </c>
      <c r="O216" s="46" t="str">
        <f aca="false">IF(OR(F216="",D216="",D216=0),"",F216/D216)</f>
        <v/>
      </c>
      <c r="P216" s="46" t="str">
        <f aca="false">IF(OR(H216="",D216="",D216=0),"",H216/D216)</f>
        <v/>
      </c>
      <c r="Q216" s="46" t="str">
        <f aca="false">IF(H216="","",IF(I216&lt;&gt;"",I216,IF(D216="","",D216*$E$3)))</f>
        <v/>
      </c>
      <c r="R216" s="46" t="str">
        <f aca="false">IF(H216="","",H216*$E$4)</f>
        <v/>
      </c>
      <c r="S216" s="46" t="str">
        <f aca="false">IF(OR(F216="",H216="",Q216=""),"",H216-F216-Q216-R216)</f>
        <v/>
      </c>
      <c r="T216" s="24" t="str">
        <f aca="false">IF(OR(S216="",H216="",H216=0),"",S216/H216)</f>
        <v/>
      </c>
    </row>
    <row r="217" customFormat="false" ht="15" hidden="false" customHeight="false" outlineLevel="0" collapsed="false">
      <c r="A217" s="30"/>
      <c r="B217" s="30"/>
      <c r="C217" s="30"/>
      <c r="D217" s="27"/>
      <c r="E217" s="43"/>
      <c r="F217" s="41"/>
      <c r="G217" s="43"/>
      <c r="H217" s="41"/>
      <c r="I217" s="41"/>
      <c r="J217" s="30"/>
      <c r="K217" s="30"/>
      <c r="L217" s="30"/>
      <c r="M217" s="39" t="str">
        <f aca="false">IF(OR(E217="",G217=""),"",(G217-E217)/30.44)</f>
        <v/>
      </c>
      <c r="N217" s="46" t="str">
        <f aca="false">IF(OR(F217="",H217=""),"",H217-F217)</f>
        <v/>
      </c>
      <c r="O217" s="46" t="str">
        <f aca="false">IF(OR(F217="",D217="",D217=0),"",F217/D217)</f>
        <v/>
      </c>
      <c r="P217" s="46" t="str">
        <f aca="false">IF(OR(H217="",D217="",D217=0),"",H217/D217)</f>
        <v/>
      </c>
      <c r="Q217" s="46" t="str">
        <f aca="false">IF(H217="","",IF(I217&lt;&gt;"",I217,IF(D217="","",D217*$E$3)))</f>
        <v/>
      </c>
      <c r="R217" s="46" t="str">
        <f aca="false">IF(H217="","",H217*$E$4)</f>
        <v/>
      </c>
      <c r="S217" s="46" t="str">
        <f aca="false">IF(OR(F217="",H217="",Q217=""),"",H217-F217-Q217-R217)</f>
        <v/>
      </c>
      <c r="T217" s="24" t="str">
        <f aca="false">IF(OR(S217="",H217="",H217=0),"",S217/H217)</f>
        <v/>
      </c>
    </row>
    <row r="218" customFormat="false" ht="15" hidden="false" customHeight="false" outlineLevel="0" collapsed="false">
      <c r="A218" s="30"/>
      <c r="B218" s="30"/>
      <c r="C218" s="30"/>
      <c r="D218" s="27"/>
      <c r="E218" s="43"/>
      <c r="F218" s="41"/>
      <c r="G218" s="43"/>
      <c r="H218" s="41"/>
      <c r="I218" s="41"/>
      <c r="J218" s="30"/>
      <c r="K218" s="30"/>
      <c r="L218" s="30"/>
      <c r="M218" s="39" t="str">
        <f aca="false">IF(OR(E218="",G218=""),"",(G218-E218)/30.44)</f>
        <v/>
      </c>
      <c r="N218" s="46" t="str">
        <f aca="false">IF(OR(F218="",H218=""),"",H218-F218)</f>
        <v/>
      </c>
      <c r="O218" s="46" t="str">
        <f aca="false">IF(OR(F218="",D218="",D218=0),"",F218/D218)</f>
        <v/>
      </c>
      <c r="P218" s="46" t="str">
        <f aca="false">IF(OR(H218="",D218="",D218=0),"",H218/D218)</f>
        <v/>
      </c>
      <c r="Q218" s="46" t="str">
        <f aca="false">IF(H218="","",IF(I218&lt;&gt;"",I218,IF(D218="","",D218*$E$3)))</f>
        <v/>
      </c>
      <c r="R218" s="46" t="str">
        <f aca="false">IF(H218="","",H218*$E$4)</f>
        <v/>
      </c>
      <c r="S218" s="46" t="str">
        <f aca="false">IF(OR(F218="",H218="",Q218=""),"",H218-F218-Q218-R218)</f>
        <v/>
      </c>
      <c r="T218" s="24" t="str">
        <f aca="false">IF(OR(S218="",H218="",H218=0),"",S218/H218)</f>
        <v/>
      </c>
    </row>
    <row r="219" customFormat="false" ht="15" hidden="false" customHeight="false" outlineLevel="0" collapsed="false">
      <c r="A219" s="30"/>
      <c r="B219" s="30"/>
      <c r="C219" s="30"/>
      <c r="D219" s="27"/>
      <c r="E219" s="43"/>
      <c r="F219" s="41"/>
      <c r="G219" s="43"/>
      <c r="H219" s="41"/>
      <c r="I219" s="41"/>
      <c r="J219" s="30"/>
      <c r="K219" s="30"/>
      <c r="L219" s="30"/>
      <c r="M219" s="39" t="str">
        <f aca="false">IF(OR(E219="",G219=""),"",(G219-E219)/30.44)</f>
        <v/>
      </c>
      <c r="N219" s="46" t="str">
        <f aca="false">IF(OR(F219="",H219=""),"",H219-F219)</f>
        <v/>
      </c>
      <c r="O219" s="46" t="str">
        <f aca="false">IF(OR(F219="",D219="",D219=0),"",F219/D219)</f>
        <v/>
      </c>
      <c r="P219" s="46" t="str">
        <f aca="false">IF(OR(H219="",D219="",D219=0),"",H219/D219)</f>
        <v/>
      </c>
      <c r="Q219" s="46" t="str">
        <f aca="false">IF(H219="","",IF(I219&lt;&gt;"",I219,IF(D219="","",D219*$E$3)))</f>
        <v/>
      </c>
      <c r="R219" s="46" t="str">
        <f aca="false">IF(H219="","",H219*$E$4)</f>
        <v/>
      </c>
      <c r="S219" s="46" t="str">
        <f aca="false">IF(OR(F219="",H219="",Q219=""),"",H219-F219-Q219-R219)</f>
        <v/>
      </c>
      <c r="T219" s="24" t="str">
        <f aca="false">IF(OR(S219="",H219="",H219=0),"",S219/H219)</f>
        <v/>
      </c>
    </row>
    <row r="220" customFormat="false" ht="15" hidden="false" customHeight="false" outlineLevel="0" collapsed="false">
      <c r="A220" s="30"/>
      <c r="B220" s="30"/>
      <c r="C220" s="30"/>
      <c r="D220" s="27"/>
      <c r="E220" s="43"/>
      <c r="F220" s="41"/>
      <c r="G220" s="43"/>
      <c r="H220" s="41"/>
      <c r="I220" s="41"/>
      <c r="J220" s="30"/>
      <c r="K220" s="30"/>
      <c r="L220" s="30"/>
      <c r="M220" s="39" t="str">
        <f aca="false">IF(OR(E220="",G220=""),"",(G220-E220)/30.44)</f>
        <v/>
      </c>
      <c r="N220" s="46" t="str">
        <f aca="false">IF(OR(F220="",H220=""),"",H220-F220)</f>
        <v/>
      </c>
      <c r="O220" s="46" t="str">
        <f aca="false">IF(OR(F220="",D220="",D220=0),"",F220/D220)</f>
        <v/>
      </c>
      <c r="P220" s="46" t="str">
        <f aca="false">IF(OR(H220="",D220="",D220=0),"",H220/D220)</f>
        <v/>
      </c>
      <c r="Q220" s="46" t="str">
        <f aca="false">IF(H220="","",IF(I220&lt;&gt;"",I220,IF(D220="","",D220*$E$3)))</f>
        <v/>
      </c>
      <c r="R220" s="46" t="str">
        <f aca="false">IF(H220="","",H220*$E$4)</f>
        <v/>
      </c>
      <c r="S220" s="46" t="str">
        <f aca="false">IF(OR(F220="",H220="",Q220=""),"",H220-F220-Q220-R220)</f>
        <v/>
      </c>
      <c r="T220" s="24" t="str">
        <f aca="false">IF(OR(S220="",H220="",H220=0),"",S220/H220)</f>
        <v/>
      </c>
    </row>
    <row r="221" customFormat="false" ht="15" hidden="false" customHeight="false" outlineLevel="0" collapsed="false">
      <c r="A221" s="30"/>
      <c r="B221" s="30"/>
      <c r="C221" s="30"/>
      <c r="D221" s="27"/>
      <c r="E221" s="43"/>
      <c r="F221" s="41"/>
      <c r="G221" s="43"/>
      <c r="H221" s="41"/>
      <c r="I221" s="41"/>
      <c r="J221" s="30"/>
      <c r="K221" s="30"/>
      <c r="L221" s="30"/>
      <c r="M221" s="39" t="str">
        <f aca="false">IF(OR(E221="",G221=""),"",(G221-E221)/30.44)</f>
        <v/>
      </c>
      <c r="N221" s="46" t="str">
        <f aca="false">IF(OR(F221="",H221=""),"",H221-F221)</f>
        <v/>
      </c>
      <c r="O221" s="46" t="str">
        <f aca="false">IF(OR(F221="",D221="",D221=0),"",F221/D221)</f>
        <v/>
      </c>
      <c r="P221" s="46" t="str">
        <f aca="false">IF(OR(H221="",D221="",D221=0),"",H221/D221)</f>
        <v/>
      </c>
      <c r="Q221" s="46" t="str">
        <f aca="false">IF(H221="","",IF(I221&lt;&gt;"",I221,IF(D221="","",D221*$E$3)))</f>
        <v/>
      </c>
      <c r="R221" s="46" t="str">
        <f aca="false">IF(H221="","",H221*$E$4)</f>
        <v/>
      </c>
      <c r="S221" s="46" t="str">
        <f aca="false">IF(OR(F221="",H221="",Q221=""),"",H221-F221-Q221-R221)</f>
        <v/>
      </c>
      <c r="T221" s="24" t="str">
        <f aca="false">IF(OR(S221="",H221="",H221=0),"",S221/H221)</f>
        <v/>
      </c>
    </row>
    <row r="222" customFormat="false" ht="15" hidden="false" customHeight="false" outlineLevel="0" collapsed="false">
      <c r="A222" s="30"/>
      <c r="B222" s="30"/>
      <c r="C222" s="30"/>
      <c r="D222" s="27"/>
      <c r="E222" s="43"/>
      <c r="F222" s="41"/>
      <c r="G222" s="43"/>
      <c r="H222" s="41"/>
      <c r="I222" s="41"/>
      <c r="J222" s="30"/>
      <c r="K222" s="30"/>
      <c r="L222" s="30"/>
      <c r="M222" s="39" t="str">
        <f aca="false">IF(OR(E222="",G222=""),"",(G222-E222)/30.44)</f>
        <v/>
      </c>
      <c r="N222" s="46" t="str">
        <f aca="false">IF(OR(F222="",H222=""),"",H222-F222)</f>
        <v/>
      </c>
      <c r="O222" s="46" t="str">
        <f aca="false">IF(OR(F222="",D222="",D222=0),"",F222/D222)</f>
        <v/>
      </c>
      <c r="P222" s="46" t="str">
        <f aca="false">IF(OR(H222="",D222="",D222=0),"",H222/D222)</f>
        <v/>
      </c>
      <c r="Q222" s="46" t="str">
        <f aca="false">IF(H222="","",IF(I222&lt;&gt;"",I222,IF(D222="","",D222*$E$3)))</f>
        <v/>
      </c>
      <c r="R222" s="46" t="str">
        <f aca="false">IF(H222="","",H222*$E$4)</f>
        <v/>
      </c>
      <c r="S222" s="46" t="str">
        <f aca="false">IF(OR(F222="",H222="",Q222=""),"",H222-F222-Q222-R222)</f>
        <v/>
      </c>
      <c r="T222" s="24" t="str">
        <f aca="false">IF(OR(S222="",H222="",H222=0),"",S222/H222)</f>
        <v/>
      </c>
    </row>
    <row r="223" customFormat="false" ht="15" hidden="false" customHeight="false" outlineLevel="0" collapsed="false">
      <c r="A223" s="30"/>
      <c r="B223" s="30"/>
      <c r="C223" s="30"/>
      <c r="D223" s="27"/>
      <c r="E223" s="43"/>
      <c r="F223" s="41"/>
      <c r="G223" s="43"/>
      <c r="H223" s="41"/>
      <c r="I223" s="41"/>
      <c r="J223" s="30"/>
      <c r="K223" s="30"/>
      <c r="L223" s="30"/>
      <c r="M223" s="39" t="str">
        <f aca="false">IF(OR(E223="",G223=""),"",(G223-E223)/30.44)</f>
        <v/>
      </c>
      <c r="N223" s="46" t="str">
        <f aca="false">IF(OR(F223="",H223=""),"",H223-F223)</f>
        <v/>
      </c>
      <c r="O223" s="46" t="str">
        <f aca="false">IF(OR(F223="",D223="",D223=0),"",F223/D223)</f>
        <v/>
      </c>
      <c r="P223" s="46" t="str">
        <f aca="false">IF(OR(H223="",D223="",D223=0),"",H223/D223)</f>
        <v/>
      </c>
      <c r="Q223" s="46" t="str">
        <f aca="false">IF(H223="","",IF(I223&lt;&gt;"",I223,IF(D223="","",D223*$E$3)))</f>
        <v/>
      </c>
      <c r="R223" s="46" t="str">
        <f aca="false">IF(H223="","",H223*$E$4)</f>
        <v/>
      </c>
      <c r="S223" s="46" t="str">
        <f aca="false">IF(OR(F223="",H223="",Q223=""),"",H223-F223-Q223-R223)</f>
        <v/>
      </c>
      <c r="T223" s="24" t="str">
        <f aca="false">IF(OR(S223="",H223="",H223=0),"",S223/H223)</f>
        <v/>
      </c>
    </row>
    <row r="224" customFormat="false" ht="15" hidden="false" customHeight="false" outlineLevel="0" collapsed="false">
      <c r="A224" s="30"/>
      <c r="B224" s="30"/>
      <c r="C224" s="30"/>
      <c r="D224" s="27"/>
      <c r="E224" s="43"/>
      <c r="F224" s="41"/>
      <c r="G224" s="43"/>
      <c r="H224" s="41"/>
      <c r="I224" s="41"/>
      <c r="J224" s="30"/>
      <c r="K224" s="30"/>
      <c r="L224" s="30"/>
      <c r="M224" s="39" t="str">
        <f aca="false">IF(OR(E224="",G224=""),"",(G224-E224)/30.44)</f>
        <v/>
      </c>
      <c r="N224" s="46" t="str">
        <f aca="false">IF(OR(F224="",H224=""),"",H224-F224)</f>
        <v/>
      </c>
      <c r="O224" s="46" t="str">
        <f aca="false">IF(OR(F224="",D224="",D224=0),"",F224/D224)</f>
        <v/>
      </c>
      <c r="P224" s="46" t="str">
        <f aca="false">IF(OR(H224="",D224="",D224=0),"",H224/D224)</f>
        <v/>
      </c>
      <c r="Q224" s="46" t="str">
        <f aca="false">IF(H224="","",IF(I224&lt;&gt;"",I224,IF(D224="","",D224*$E$3)))</f>
        <v/>
      </c>
      <c r="R224" s="46" t="str">
        <f aca="false">IF(H224="","",H224*$E$4)</f>
        <v/>
      </c>
      <c r="S224" s="46" t="str">
        <f aca="false">IF(OR(F224="",H224="",Q224=""),"",H224-F224-Q224-R224)</f>
        <v/>
      </c>
      <c r="T224" s="24" t="str">
        <f aca="false">IF(OR(S224="",H224="",H224=0),"",S224/H224)</f>
        <v/>
      </c>
    </row>
    <row r="225" customFormat="false" ht="15" hidden="false" customHeight="false" outlineLevel="0" collapsed="false">
      <c r="A225" s="30"/>
      <c r="B225" s="30"/>
      <c r="C225" s="30"/>
      <c r="D225" s="27"/>
      <c r="E225" s="43"/>
      <c r="F225" s="41"/>
      <c r="G225" s="43"/>
      <c r="H225" s="41"/>
      <c r="I225" s="41"/>
      <c r="J225" s="30"/>
      <c r="K225" s="30"/>
      <c r="L225" s="30"/>
      <c r="M225" s="39" t="str">
        <f aca="false">IF(OR(E225="",G225=""),"",(G225-E225)/30.44)</f>
        <v/>
      </c>
      <c r="N225" s="46" t="str">
        <f aca="false">IF(OR(F225="",H225=""),"",H225-F225)</f>
        <v/>
      </c>
      <c r="O225" s="46" t="str">
        <f aca="false">IF(OR(F225="",D225="",D225=0),"",F225/D225)</f>
        <v/>
      </c>
      <c r="P225" s="46" t="str">
        <f aca="false">IF(OR(H225="",D225="",D225=0),"",H225/D225)</f>
        <v/>
      </c>
      <c r="Q225" s="46" t="str">
        <f aca="false">IF(H225="","",IF(I225&lt;&gt;"",I225,IF(D225="","",D225*$E$3)))</f>
        <v/>
      </c>
      <c r="R225" s="46" t="str">
        <f aca="false">IF(H225="","",H225*$E$4)</f>
        <v/>
      </c>
      <c r="S225" s="46" t="str">
        <f aca="false">IF(OR(F225="",H225="",Q225=""),"",H225-F225-Q225-R225)</f>
        <v/>
      </c>
      <c r="T225" s="24" t="str">
        <f aca="false">IF(OR(S225="",H225="",H225=0),"",S225/H225)</f>
        <v/>
      </c>
    </row>
    <row r="226" customFormat="false" ht="15" hidden="false" customHeight="false" outlineLevel="0" collapsed="false">
      <c r="A226" s="30"/>
      <c r="B226" s="30"/>
      <c r="C226" s="30"/>
      <c r="D226" s="27"/>
      <c r="E226" s="43"/>
      <c r="F226" s="41"/>
      <c r="G226" s="43"/>
      <c r="H226" s="41"/>
      <c r="I226" s="41"/>
      <c r="J226" s="30"/>
      <c r="K226" s="30"/>
      <c r="L226" s="30"/>
      <c r="M226" s="39" t="str">
        <f aca="false">IF(OR(E226="",G226=""),"",(G226-E226)/30.44)</f>
        <v/>
      </c>
      <c r="N226" s="46" t="str">
        <f aca="false">IF(OR(F226="",H226=""),"",H226-F226)</f>
        <v/>
      </c>
      <c r="O226" s="46" t="str">
        <f aca="false">IF(OR(F226="",D226="",D226=0),"",F226/D226)</f>
        <v/>
      </c>
      <c r="P226" s="46" t="str">
        <f aca="false">IF(OR(H226="",D226="",D226=0),"",H226/D226)</f>
        <v/>
      </c>
      <c r="Q226" s="46" t="str">
        <f aca="false">IF(H226="","",IF(I226&lt;&gt;"",I226,IF(D226="","",D226*$E$3)))</f>
        <v/>
      </c>
      <c r="R226" s="46" t="str">
        <f aca="false">IF(H226="","",H226*$E$4)</f>
        <v/>
      </c>
      <c r="S226" s="46" t="str">
        <f aca="false">IF(OR(F226="",H226="",Q226=""),"",H226-F226-Q226-R226)</f>
        <v/>
      </c>
      <c r="T226" s="24" t="str">
        <f aca="false">IF(OR(S226="",H226="",H226=0),"",S226/H226)</f>
        <v/>
      </c>
    </row>
    <row r="227" customFormat="false" ht="15" hidden="false" customHeight="false" outlineLevel="0" collapsed="false">
      <c r="A227" s="30"/>
      <c r="B227" s="30"/>
      <c r="C227" s="30"/>
      <c r="D227" s="27"/>
      <c r="E227" s="43"/>
      <c r="F227" s="41"/>
      <c r="G227" s="43"/>
      <c r="H227" s="41"/>
      <c r="I227" s="41"/>
      <c r="J227" s="30"/>
      <c r="K227" s="30"/>
      <c r="L227" s="30"/>
      <c r="M227" s="39" t="str">
        <f aca="false">IF(OR(E227="",G227=""),"",(G227-E227)/30.44)</f>
        <v/>
      </c>
      <c r="N227" s="46" t="str">
        <f aca="false">IF(OR(F227="",H227=""),"",H227-F227)</f>
        <v/>
      </c>
      <c r="O227" s="46" t="str">
        <f aca="false">IF(OR(F227="",D227="",D227=0),"",F227/D227)</f>
        <v/>
      </c>
      <c r="P227" s="46" t="str">
        <f aca="false">IF(OR(H227="",D227="",D227=0),"",H227/D227)</f>
        <v/>
      </c>
      <c r="Q227" s="46" t="str">
        <f aca="false">IF(H227="","",IF(I227&lt;&gt;"",I227,IF(D227="","",D227*$E$3)))</f>
        <v/>
      </c>
      <c r="R227" s="46" t="str">
        <f aca="false">IF(H227="","",H227*$E$4)</f>
        <v/>
      </c>
      <c r="S227" s="46" t="str">
        <f aca="false">IF(OR(F227="",H227="",Q227=""),"",H227-F227-Q227-R227)</f>
        <v/>
      </c>
      <c r="T227" s="24" t="str">
        <f aca="false">IF(OR(S227="",H227="",H227=0),"",S227/H227)</f>
        <v/>
      </c>
    </row>
    <row r="228" customFormat="false" ht="15" hidden="false" customHeight="false" outlineLevel="0" collapsed="false">
      <c r="A228" s="30"/>
      <c r="B228" s="30"/>
      <c r="C228" s="30"/>
      <c r="D228" s="27"/>
      <c r="E228" s="43"/>
      <c r="F228" s="41"/>
      <c r="G228" s="43"/>
      <c r="H228" s="41"/>
      <c r="I228" s="41"/>
      <c r="J228" s="30"/>
      <c r="K228" s="30"/>
      <c r="L228" s="30"/>
      <c r="M228" s="39" t="str">
        <f aca="false">IF(OR(E228="",G228=""),"",(G228-E228)/30.44)</f>
        <v/>
      </c>
      <c r="N228" s="46" t="str">
        <f aca="false">IF(OR(F228="",H228=""),"",H228-F228)</f>
        <v/>
      </c>
      <c r="O228" s="46" t="str">
        <f aca="false">IF(OR(F228="",D228="",D228=0),"",F228/D228)</f>
        <v/>
      </c>
      <c r="P228" s="46" t="str">
        <f aca="false">IF(OR(H228="",D228="",D228=0),"",H228/D228)</f>
        <v/>
      </c>
      <c r="Q228" s="46" t="str">
        <f aca="false">IF(H228="","",IF(I228&lt;&gt;"",I228,IF(D228="","",D228*$E$3)))</f>
        <v/>
      </c>
      <c r="R228" s="46" t="str">
        <f aca="false">IF(H228="","",H228*$E$4)</f>
        <v/>
      </c>
      <c r="S228" s="46" t="str">
        <f aca="false">IF(OR(F228="",H228="",Q228=""),"",H228-F228-Q228-R228)</f>
        <v/>
      </c>
      <c r="T228" s="24" t="str">
        <f aca="false">IF(OR(S228="",H228="",H228=0),"",S228/H228)</f>
        <v/>
      </c>
    </row>
    <row r="229" customFormat="false" ht="15" hidden="false" customHeight="false" outlineLevel="0" collapsed="false">
      <c r="A229" s="30"/>
      <c r="B229" s="30"/>
      <c r="C229" s="30"/>
      <c r="D229" s="27"/>
      <c r="E229" s="43"/>
      <c r="F229" s="41"/>
      <c r="G229" s="43"/>
      <c r="H229" s="41"/>
      <c r="I229" s="41"/>
      <c r="J229" s="30"/>
      <c r="K229" s="30"/>
      <c r="L229" s="30"/>
      <c r="M229" s="39" t="str">
        <f aca="false">IF(OR(E229="",G229=""),"",(G229-E229)/30.44)</f>
        <v/>
      </c>
      <c r="N229" s="46" t="str">
        <f aca="false">IF(OR(F229="",H229=""),"",H229-F229)</f>
        <v/>
      </c>
      <c r="O229" s="46" t="str">
        <f aca="false">IF(OR(F229="",D229="",D229=0),"",F229/D229)</f>
        <v/>
      </c>
      <c r="P229" s="46" t="str">
        <f aca="false">IF(OR(H229="",D229="",D229=0),"",H229/D229)</f>
        <v/>
      </c>
      <c r="Q229" s="46" t="str">
        <f aca="false">IF(H229="","",IF(I229&lt;&gt;"",I229,IF(D229="","",D229*$E$3)))</f>
        <v/>
      </c>
      <c r="R229" s="46" t="str">
        <f aca="false">IF(H229="","",H229*$E$4)</f>
        <v/>
      </c>
      <c r="S229" s="46" t="str">
        <f aca="false">IF(OR(F229="",H229="",Q229=""),"",H229-F229-Q229-R229)</f>
        <v/>
      </c>
      <c r="T229" s="24" t="str">
        <f aca="false">IF(OR(S229="",H229="",H229=0),"",S229/H229)</f>
        <v/>
      </c>
    </row>
    <row r="230" customFormat="false" ht="15" hidden="false" customHeight="false" outlineLevel="0" collapsed="false">
      <c r="A230" s="30"/>
      <c r="B230" s="30"/>
      <c r="C230" s="30"/>
      <c r="D230" s="27"/>
      <c r="E230" s="43"/>
      <c r="F230" s="41"/>
      <c r="G230" s="43"/>
      <c r="H230" s="41"/>
      <c r="I230" s="41"/>
      <c r="J230" s="30"/>
      <c r="K230" s="30"/>
      <c r="L230" s="30"/>
      <c r="M230" s="39" t="str">
        <f aca="false">IF(OR(E230="",G230=""),"",(G230-E230)/30.44)</f>
        <v/>
      </c>
      <c r="N230" s="46" t="str">
        <f aca="false">IF(OR(F230="",H230=""),"",H230-F230)</f>
        <v/>
      </c>
      <c r="O230" s="46" t="str">
        <f aca="false">IF(OR(F230="",D230="",D230=0),"",F230/D230)</f>
        <v/>
      </c>
      <c r="P230" s="46" t="str">
        <f aca="false">IF(OR(H230="",D230="",D230=0),"",H230/D230)</f>
        <v/>
      </c>
      <c r="Q230" s="46" t="str">
        <f aca="false">IF(H230="","",IF(I230&lt;&gt;"",I230,IF(D230="","",D230*$E$3)))</f>
        <v/>
      </c>
      <c r="R230" s="46" t="str">
        <f aca="false">IF(H230="","",H230*$E$4)</f>
        <v/>
      </c>
      <c r="S230" s="46" t="str">
        <f aca="false">IF(OR(F230="",H230="",Q230=""),"",H230-F230-Q230-R230)</f>
        <v/>
      </c>
      <c r="T230" s="24" t="str">
        <f aca="false">IF(OR(S230="",H230="",H230=0),"",S230/H230)</f>
        <v/>
      </c>
    </row>
    <row r="231" customFormat="false" ht="15" hidden="false" customHeight="false" outlineLevel="0" collapsed="false">
      <c r="A231" s="30"/>
      <c r="B231" s="30"/>
      <c r="C231" s="30"/>
      <c r="D231" s="27"/>
      <c r="E231" s="43"/>
      <c r="F231" s="41"/>
      <c r="G231" s="43"/>
      <c r="H231" s="41"/>
      <c r="I231" s="41"/>
      <c r="J231" s="30"/>
      <c r="K231" s="30"/>
      <c r="L231" s="30"/>
      <c r="M231" s="39" t="str">
        <f aca="false">IF(OR(E231="",G231=""),"",(G231-E231)/30.44)</f>
        <v/>
      </c>
      <c r="N231" s="46" t="str">
        <f aca="false">IF(OR(F231="",H231=""),"",H231-F231)</f>
        <v/>
      </c>
      <c r="O231" s="46" t="str">
        <f aca="false">IF(OR(F231="",D231="",D231=0),"",F231/D231)</f>
        <v/>
      </c>
      <c r="P231" s="46" t="str">
        <f aca="false">IF(OR(H231="",D231="",D231=0),"",H231/D231)</f>
        <v/>
      </c>
      <c r="Q231" s="46" t="str">
        <f aca="false">IF(H231="","",IF(I231&lt;&gt;"",I231,IF(D231="","",D231*$E$3)))</f>
        <v/>
      </c>
      <c r="R231" s="46" t="str">
        <f aca="false">IF(H231="","",H231*$E$4)</f>
        <v/>
      </c>
      <c r="S231" s="46" t="str">
        <f aca="false">IF(OR(F231="",H231="",Q231=""),"",H231-F231-Q231-R231)</f>
        <v/>
      </c>
      <c r="T231" s="24" t="str">
        <f aca="false">IF(OR(S231="",H231="",H231=0),"",S231/H231)</f>
        <v/>
      </c>
    </row>
    <row r="232" customFormat="false" ht="15" hidden="false" customHeight="false" outlineLevel="0" collapsed="false">
      <c r="A232" s="30"/>
      <c r="B232" s="30"/>
      <c r="C232" s="30"/>
      <c r="D232" s="27"/>
      <c r="E232" s="43"/>
      <c r="F232" s="41"/>
      <c r="G232" s="43"/>
      <c r="H232" s="41"/>
      <c r="I232" s="41"/>
      <c r="J232" s="30"/>
      <c r="K232" s="30"/>
      <c r="L232" s="30"/>
      <c r="M232" s="39" t="str">
        <f aca="false">IF(OR(E232="",G232=""),"",(G232-E232)/30.44)</f>
        <v/>
      </c>
      <c r="N232" s="46" t="str">
        <f aca="false">IF(OR(F232="",H232=""),"",H232-F232)</f>
        <v/>
      </c>
      <c r="O232" s="46" t="str">
        <f aca="false">IF(OR(F232="",D232="",D232=0),"",F232/D232)</f>
        <v/>
      </c>
      <c r="P232" s="46" t="str">
        <f aca="false">IF(OR(H232="",D232="",D232=0),"",H232/D232)</f>
        <v/>
      </c>
      <c r="Q232" s="46" t="str">
        <f aca="false">IF(H232="","",IF(I232&lt;&gt;"",I232,IF(D232="","",D232*$E$3)))</f>
        <v/>
      </c>
      <c r="R232" s="46" t="str">
        <f aca="false">IF(H232="","",H232*$E$4)</f>
        <v/>
      </c>
      <c r="S232" s="46" t="str">
        <f aca="false">IF(OR(F232="",H232="",Q232=""),"",H232-F232-Q232-R232)</f>
        <v/>
      </c>
      <c r="T232" s="24" t="str">
        <f aca="false">IF(OR(S232="",H232="",H232=0),"",S232/H232)</f>
        <v/>
      </c>
    </row>
    <row r="233" customFormat="false" ht="15" hidden="false" customHeight="false" outlineLevel="0" collapsed="false">
      <c r="A233" s="30"/>
      <c r="B233" s="30"/>
      <c r="C233" s="30"/>
      <c r="D233" s="27"/>
      <c r="E233" s="43"/>
      <c r="F233" s="41"/>
      <c r="G233" s="43"/>
      <c r="H233" s="41"/>
      <c r="I233" s="41"/>
      <c r="J233" s="30"/>
      <c r="K233" s="30"/>
      <c r="L233" s="30"/>
      <c r="M233" s="39" t="str">
        <f aca="false">IF(OR(E233="",G233=""),"",(G233-E233)/30.44)</f>
        <v/>
      </c>
      <c r="N233" s="46" t="str">
        <f aca="false">IF(OR(F233="",H233=""),"",H233-F233)</f>
        <v/>
      </c>
      <c r="O233" s="46" t="str">
        <f aca="false">IF(OR(F233="",D233="",D233=0),"",F233/D233)</f>
        <v/>
      </c>
      <c r="P233" s="46" t="str">
        <f aca="false">IF(OR(H233="",D233="",D233=0),"",H233/D233)</f>
        <v/>
      </c>
      <c r="Q233" s="46" t="str">
        <f aca="false">IF(H233="","",IF(I233&lt;&gt;"",I233,IF(D233="","",D233*$E$3)))</f>
        <v/>
      </c>
      <c r="R233" s="46" t="str">
        <f aca="false">IF(H233="","",H233*$E$4)</f>
        <v/>
      </c>
      <c r="S233" s="46" t="str">
        <f aca="false">IF(OR(F233="",H233="",Q233=""),"",H233-F233-Q233-R233)</f>
        <v/>
      </c>
      <c r="T233" s="24" t="str">
        <f aca="false">IF(OR(S233="",H233="",H233=0),"",S233/H233)</f>
        <v/>
      </c>
    </row>
    <row r="234" customFormat="false" ht="15" hidden="false" customHeight="false" outlineLevel="0" collapsed="false">
      <c r="A234" s="30"/>
      <c r="B234" s="30"/>
      <c r="C234" s="30"/>
      <c r="D234" s="27"/>
      <c r="E234" s="43"/>
      <c r="F234" s="41"/>
      <c r="G234" s="43"/>
      <c r="H234" s="41"/>
      <c r="I234" s="41"/>
      <c r="J234" s="30"/>
      <c r="K234" s="30"/>
      <c r="L234" s="30"/>
      <c r="M234" s="39" t="str">
        <f aca="false">IF(OR(E234="",G234=""),"",(G234-E234)/30.44)</f>
        <v/>
      </c>
      <c r="N234" s="46" t="str">
        <f aca="false">IF(OR(F234="",H234=""),"",H234-F234)</f>
        <v/>
      </c>
      <c r="O234" s="46" t="str">
        <f aca="false">IF(OR(F234="",D234="",D234=0),"",F234/D234)</f>
        <v/>
      </c>
      <c r="P234" s="46" t="str">
        <f aca="false">IF(OR(H234="",D234="",D234=0),"",H234/D234)</f>
        <v/>
      </c>
      <c r="Q234" s="46" t="str">
        <f aca="false">IF(H234="","",IF(I234&lt;&gt;"",I234,IF(D234="","",D234*$E$3)))</f>
        <v/>
      </c>
      <c r="R234" s="46" t="str">
        <f aca="false">IF(H234="","",H234*$E$4)</f>
        <v/>
      </c>
      <c r="S234" s="46" t="str">
        <f aca="false">IF(OR(F234="",H234="",Q234=""),"",H234-F234-Q234-R234)</f>
        <v/>
      </c>
      <c r="T234" s="24" t="str">
        <f aca="false">IF(OR(S234="",H234="",H234=0),"",S234/H234)</f>
        <v/>
      </c>
    </row>
    <row r="235" customFormat="false" ht="15" hidden="false" customHeight="false" outlineLevel="0" collapsed="false">
      <c r="A235" s="30"/>
      <c r="B235" s="30"/>
      <c r="C235" s="30"/>
      <c r="D235" s="27"/>
      <c r="E235" s="43"/>
      <c r="F235" s="41"/>
      <c r="G235" s="43"/>
      <c r="H235" s="41"/>
      <c r="I235" s="41"/>
      <c r="J235" s="30"/>
      <c r="K235" s="30"/>
      <c r="L235" s="30"/>
      <c r="M235" s="39" t="str">
        <f aca="false">IF(OR(E235="",G235=""),"",(G235-E235)/30.44)</f>
        <v/>
      </c>
      <c r="N235" s="46" t="str">
        <f aca="false">IF(OR(F235="",H235=""),"",H235-F235)</f>
        <v/>
      </c>
      <c r="O235" s="46" t="str">
        <f aca="false">IF(OR(F235="",D235="",D235=0),"",F235/D235)</f>
        <v/>
      </c>
      <c r="P235" s="46" t="str">
        <f aca="false">IF(OR(H235="",D235="",D235=0),"",H235/D235)</f>
        <v/>
      </c>
      <c r="Q235" s="46" t="str">
        <f aca="false">IF(H235="","",IF(I235&lt;&gt;"",I235,IF(D235="","",D235*$E$3)))</f>
        <v/>
      </c>
      <c r="R235" s="46" t="str">
        <f aca="false">IF(H235="","",H235*$E$4)</f>
        <v/>
      </c>
      <c r="S235" s="46" t="str">
        <f aca="false">IF(OR(F235="",H235="",Q235=""),"",H235-F235-Q235-R235)</f>
        <v/>
      </c>
      <c r="T235" s="24" t="str">
        <f aca="false">IF(OR(S235="",H235="",H235=0),"",S235/H235)</f>
        <v/>
      </c>
    </row>
    <row r="236" customFormat="false" ht="15" hidden="false" customHeight="false" outlineLevel="0" collapsed="false">
      <c r="A236" s="30"/>
      <c r="B236" s="30"/>
      <c r="C236" s="30"/>
      <c r="D236" s="27"/>
      <c r="E236" s="43"/>
      <c r="F236" s="41"/>
      <c r="G236" s="43"/>
      <c r="H236" s="41"/>
      <c r="I236" s="41"/>
      <c r="J236" s="30"/>
      <c r="K236" s="30"/>
      <c r="L236" s="30"/>
      <c r="M236" s="39" t="str">
        <f aca="false">IF(OR(E236="",G236=""),"",(G236-E236)/30.44)</f>
        <v/>
      </c>
      <c r="N236" s="46" t="str">
        <f aca="false">IF(OR(F236="",H236=""),"",H236-F236)</f>
        <v/>
      </c>
      <c r="O236" s="46" t="str">
        <f aca="false">IF(OR(F236="",D236="",D236=0),"",F236/D236)</f>
        <v/>
      </c>
      <c r="P236" s="46" t="str">
        <f aca="false">IF(OR(H236="",D236="",D236=0),"",H236/D236)</f>
        <v/>
      </c>
      <c r="Q236" s="46" t="str">
        <f aca="false">IF(H236="","",IF(I236&lt;&gt;"",I236,IF(D236="","",D236*$E$3)))</f>
        <v/>
      </c>
      <c r="R236" s="46" t="str">
        <f aca="false">IF(H236="","",H236*$E$4)</f>
        <v/>
      </c>
      <c r="S236" s="46" t="str">
        <f aca="false">IF(OR(F236="",H236="",Q236=""),"",H236-F236-Q236-R236)</f>
        <v/>
      </c>
      <c r="T236" s="24" t="str">
        <f aca="false">IF(OR(S236="",H236="",H236=0),"",S236/H236)</f>
        <v/>
      </c>
    </row>
    <row r="237" customFormat="false" ht="15" hidden="false" customHeight="false" outlineLevel="0" collapsed="false">
      <c r="A237" s="30"/>
      <c r="B237" s="30"/>
      <c r="C237" s="30"/>
      <c r="D237" s="27"/>
      <c r="E237" s="43"/>
      <c r="F237" s="41"/>
      <c r="G237" s="43"/>
      <c r="H237" s="41"/>
      <c r="I237" s="41"/>
      <c r="J237" s="30"/>
      <c r="K237" s="30"/>
      <c r="L237" s="30"/>
      <c r="M237" s="39" t="str">
        <f aca="false">IF(OR(E237="",G237=""),"",(G237-E237)/30.44)</f>
        <v/>
      </c>
      <c r="N237" s="46" t="str">
        <f aca="false">IF(OR(F237="",H237=""),"",H237-F237)</f>
        <v/>
      </c>
      <c r="O237" s="46" t="str">
        <f aca="false">IF(OR(F237="",D237="",D237=0),"",F237/D237)</f>
        <v/>
      </c>
      <c r="P237" s="46" t="str">
        <f aca="false">IF(OR(H237="",D237="",D237=0),"",H237/D237)</f>
        <v/>
      </c>
      <c r="Q237" s="46" t="str">
        <f aca="false">IF(H237="","",IF(I237&lt;&gt;"",I237,IF(D237="","",D237*$E$3)))</f>
        <v/>
      </c>
      <c r="R237" s="46" t="str">
        <f aca="false">IF(H237="","",H237*$E$4)</f>
        <v/>
      </c>
      <c r="S237" s="46" t="str">
        <f aca="false">IF(OR(F237="",H237="",Q237=""),"",H237-F237-Q237-R237)</f>
        <v/>
      </c>
      <c r="T237" s="24" t="str">
        <f aca="false">IF(OR(S237="",H237="",H237=0),"",S237/H237)</f>
        <v/>
      </c>
    </row>
    <row r="238" customFormat="false" ht="15" hidden="false" customHeight="false" outlineLevel="0" collapsed="false">
      <c r="A238" s="30"/>
      <c r="B238" s="30"/>
      <c r="C238" s="30"/>
      <c r="D238" s="27"/>
      <c r="E238" s="43"/>
      <c r="F238" s="41"/>
      <c r="G238" s="43"/>
      <c r="H238" s="41"/>
      <c r="I238" s="41"/>
      <c r="J238" s="30"/>
      <c r="K238" s="30"/>
      <c r="L238" s="30"/>
      <c r="M238" s="39" t="str">
        <f aca="false">IF(OR(E238="",G238=""),"",(G238-E238)/30.44)</f>
        <v/>
      </c>
      <c r="N238" s="46" t="str">
        <f aca="false">IF(OR(F238="",H238=""),"",H238-F238)</f>
        <v/>
      </c>
      <c r="O238" s="46" t="str">
        <f aca="false">IF(OR(F238="",D238="",D238=0),"",F238/D238)</f>
        <v/>
      </c>
      <c r="P238" s="46" t="str">
        <f aca="false">IF(OR(H238="",D238="",D238=0),"",H238/D238)</f>
        <v/>
      </c>
      <c r="Q238" s="46" t="str">
        <f aca="false">IF(H238="","",IF(I238&lt;&gt;"",I238,IF(D238="","",D238*$E$3)))</f>
        <v/>
      </c>
      <c r="R238" s="46" t="str">
        <f aca="false">IF(H238="","",H238*$E$4)</f>
        <v/>
      </c>
      <c r="S238" s="46" t="str">
        <f aca="false">IF(OR(F238="",H238="",Q238=""),"",H238-F238-Q238-R238)</f>
        <v/>
      </c>
      <c r="T238" s="24" t="str">
        <f aca="false">IF(OR(S238="",H238="",H238=0),"",S238/H238)</f>
        <v/>
      </c>
    </row>
    <row r="239" customFormat="false" ht="15" hidden="false" customHeight="false" outlineLevel="0" collapsed="false">
      <c r="A239" s="30"/>
      <c r="B239" s="30"/>
      <c r="C239" s="30"/>
      <c r="D239" s="27"/>
      <c r="E239" s="43"/>
      <c r="F239" s="41"/>
      <c r="G239" s="43"/>
      <c r="H239" s="41"/>
      <c r="I239" s="41"/>
      <c r="J239" s="30"/>
      <c r="K239" s="30"/>
      <c r="L239" s="30"/>
      <c r="M239" s="39" t="str">
        <f aca="false">IF(OR(E239="",G239=""),"",(G239-E239)/30.44)</f>
        <v/>
      </c>
      <c r="N239" s="46" t="str">
        <f aca="false">IF(OR(F239="",H239=""),"",H239-F239)</f>
        <v/>
      </c>
      <c r="O239" s="46" t="str">
        <f aca="false">IF(OR(F239="",D239="",D239=0),"",F239/D239)</f>
        <v/>
      </c>
      <c r="P239" s="46" t="str">
        <f aca="false">IF(OR(H239="",D239="",D239=0),"",H239/D239)</f>
        <v/>
      </c>
      <c r="Q239" s="46" t="str">
        <f aca="false">IF(H239="","",IF(I239&lt;&gt;"",I239,IF(D239="","",D239*$E$3)))</f>
        <v/>
      </c>
      <c r="R239" s="46" t="str">
        <f aca="false">IF(H239="","",H239*$E$4)</f>
        <v/>
      </c>
      <c r="S239" s="46" t="str">
        <f aca="false">IF(OR(F239="",H239="",Q239=""),"",H239-F239-Q239-R239)</f>
        <v/>
      </c>
      <c r="T239" s="24" t="str">
        <f aca="false">IF(OR(S239="",H239="",H239=0),"",S239/H239)</f>
        <v/>
      </c>
    </row>
    <row r="240" customFormat="false" ht="15" hidden="false" customHeight="false" outlineLevel="0" collapsed="false">
      <c r="A240" s="30"/>
      <c r="B240" s="30"/>
      <c r="C240" s="30"/>
      <c r="D240" s="27"/>
      <c r="E240" s="43"/>
      <c r="F240" s="41"/>
      <c r="G240" s="43"/>
      <c r="H240" s="41"/>
      <c r="I240" s="41"/>
      <c r="J240" s="30"/>
      <c r="K240" s="30"/>
      <c r="L240" s="30"/>
      <c r="M240" s="39" t="str">
        <f aca="false">IF(OR(E240="",G240=""),"",(G240-E240)/30.44)</f>
        <v/>
      </c>
      <c r="N240" s="46" t="str">
        <f aca="false">IF(OR(F240="",H240=""),"",H240-F240)</f>
        <v/>
      </c>
      <c r="O240" s="46" t="str">
        <f aca="false">IF(OR(F240="",D240="",D240=0),"",F240/D240)</f>
        <v/>
      </c>
      <c r="P240" s="46" t="str">
        <f aca="false">IF(OR(H240="",D240="",D240=0),"",H240/D240)</f>
        <v/>
      </c>
      <c r="Q240" s="46" t="str">
        <f aca="false">IF(H240="","",IF(I240&lt;&gt;"",I240,IF(D240="","",D240*$E$3)))</f>
        <v/>
      </c>
      <c r="R240" s="46" t="str">
        <f aca="false">IF(H240="","",H240*$E$4)</f>
        <v/>
      </c>
      <c r="S240" s="46" t="str">
        <f aca="false">IF(OR(F240="",H240="",Q240=""),"",H240-F240-Q240-R240)</f>
        <v/>
      </c>
      <c r="T240" s="24" t="str">
        <f aca="false">IF(OR(S240="",H240="",H240=0),"",S240/H240)</f>
        <v/>
      </c>
    </row>
    <row r="241" customFormat="false" ht="15" hidden="false" customHeight="false" outlineLevel="0" collapsed="false">
      <c r="A241" s="30"/>
      <c r="B241" s="30"/>
      <c r="C241" s="30"/>
      <c r="D241" s="27"/>
      <c r="E241" s="43"/>
      <c r="F241" s="41"/>
      <c r="G241" s="43"/>
      <c r="H241" s="41"/>
      <c r="I241" s="41"/>
      <c r="J241" s="30"/>
      <c r="K241" s="30"/>
      <c r="L241" s="30"/>
      <c r="M241" s="39" t="str">
        <f aca="false">IF(OR(E241="",G241=""),"",(G241-E241)/30.44)</f>
        <v/>
      </c>
      <c r="N241" s="46" t="str">
        <f aca="false">IF(OR(F241="",H241=""),"",H241-F241)</f>
        <v/>
      </c>
      <c r="O241" s="46" t="str">
        <f aca="false">IF(OR(F241="",D241="",D241=0),"",F241/D241)</f>
        <v/>
      </c>
      <c r="P241" s="46" t="str">
        <f aca="false">IF(OR(H241="",D241="",D241=0),"",H241/D241)</f>
        <v/>
      </c>
      <c r="Q241" s="46" t="str">
        <f aca="false">IF(H241="","",IF(I241&lt;&gt;"",I241,IF(D241="","",D241*$E$3)))</f>
        <v/>
      </c>
      <c r="R241" s="46" t="str">
        <f aca="false">IF(H241="","",H241*$E$4)</f>
        <v/>
      </c>
      <c r="S241" s="46" t="str">
        <f aca="false">IF(OR(F241="",H241="",Q241=""),"",H241-F241-Q241-R241)</f>
        <v/>
      </c>
      <c r="T241" s="24" t="str">
        <f aca="false">IF(OR(S241="",H241="",H241=0),"",S241/H241)</f>
        <v/>
      </c>
    </row>
    <row r="242" customFormat="false" ht="15" hidden="false" customHeight="false" outlineLevel="0" collapsed="false">
      <c r="A242" s="30"/>
      <c r="B242" s="30"/>
      <c r="C242" s="30"/>
      <c r="D242" s="27"/>
      <c r="E242" s="43"/>
      <c r="F242" s="41"/>
      <c r="G242" s="43"/>
      <c r="H242" s="41"/>
      <c r="I242" s="41"/>
      <c r="J242" s="30"/>
      <c r="K242" s="30"/>
      <c r="L242" s="30"/>
      <c r="M242" s="39" t="str">
        <f aca="false">IF(OR(E242="",G242=""),"",(G242-E242)/30.44)</f>
        <v/>
      </c>
      <c r="N242" s="46" t="str">
        <f aca="false">IF(OR(F242="",H242=""),"",H242-F242)</f>
        <v/>
      </c>
      <c r="O242" s="46" t="str">
        <f aca="false">IF(OR(F242="",D242="",D242=0),"",F242/D242)</f>
        <v/>
      </c>
      <c r="P242" s="46" t="str">
        <f aca="false">IF(OR(H242="",D242="",D242=0),"",H242/D242)</f>
        <v/>
      </c>
      <c r="Q242" s="46" t="str">
        <f aca="false">IF(H242="","",IF(I242&lt;&gt;"",I242,IF(D242="","",D242*$E$3)))</f>
        <v/>
      </c>
      <c r="R242" s="46" t="str">
        <f aca="false">IF(H242="","",H242*$E$4)</f>
        <v/>
      </c>
      <c r="S242" s="46" t="str">
        <f aca="false">IF(OR(F242="",H242="",Q242=""),"",H242-F242-Q242-R242)</f>
        <v/>
      </c>
      <c r="T242" s="24" t="str">
        <f aca="false">IF(OR(S242="",H242="",H242=0),"",S242/H242)</f>
        <v/>
      </c>
    </row>
    <row r="243" customFormat="false" ht="15" hidden="false" customHeight="false" outlineLevel="0" collapsed="false">
      <c r="A243" s="30"/>
      <c r="B243" s="30"/>
      <c r="C243" s="30"/>
      <c r="D243" s="27"/>
      <c r="E243" s="43"/>
      <c r="F243" s="41"/>
      <c r="G243" s="43"/>
      <c r="H243" s="41"/>
      <c r="I243" s="41"/>
      <c r="J243" s="30"/>
      <c r="K243" s="30"/>
      <c r="L243" s="30"/>
      <c r="M243" s="39" t="str">
        <f aca="false">IF(OR(E243="",G243=""),"",(G243-E243)/30.44)</f>
        <v/>
      </c>
      <c r="N243" s="46" t="str">
        <f aca="false">IF(OR(F243="",H243=""),"",H243-F243)</f>
        <v/>
      </c>
      <c r="O243" s="46" t="str">
        <f aca="false">IF(OR(F243="",D243="",D243=0),"",F243/D243)</f>
        <v/>
      </c>
      <c r="P243" s="46" t="str">
        <f aca="false">IF(OR(H243="",D243="",D243=0),"",H243/D243)</f>
        <v/>
      </c>
      <c r="Q243" s="46" t="str">
        <f aca="false">IF(H243="","",IF(I243&lt;&gt;"",I243,IF(D243="","",D243*$E$3)))</f>
        <v/>
      </c>
      <c r="R243" s="46" t="str">
        <f aca="false">IF(H243="","",H243*$E$4)</f>
        <v/>
      </c>
      <c r="S243" s="46" t="str">
        <f aca="false">IF(OR(F243="",H243="",Q243=""),"",H243-F243-Q243-R243)</f>
        <v/>
      </c>
      <c r="T243" s="24" t="str">
        <f aca="false">IF(OR(S243="",H243="",H243=0),"",S243/H243)</f>
        <v/>
      </c>
    </row>
    <row r="244" customFormat="false" ht="15" hidden="false" customHeight="false" outlineLevel="0" collapsed="false">
      <c r="A244" s="30"/>
      <c r="B244" s="30"/>
      <c r="C244" s="30"/>
      <c r="D244" s="27"/>
      <c r="E244" s="43"/>
      <c r="F244" s="41"/>
      <c r="G244" s="43"/>
      <c r="H244" s="41"/>
      <c r="I244" s="41"/>
      <c r="J244" s="30"/>
      <c r="K244" s="30"/>
      <c r="L244" s="30"/>
      <c r="M244" s="39" t="str">
        <f aca="false">IF(OR(E244="",G244=""),"",(G244-E244)/30.44)</f>
        <v/>
      </c>
      <c r="N244" s="46" t="str">
        <f aca="false">IF(OR(F244="",H244=""),"",H244-F244)</f>
        <v/>
      </c>
      <c r="O244" s="46" t="str">
        <f aca="false">IF(OR(F244="",D244="",D244=0),"",F244/D244)</f>
        <v/>
      </c>
      <c r="P244" s="46" t="str">
        <f aca="false">IF(OR(H244="",D244="",D244=0),"",H244/D244)</f>
        <v/>
      </c>
      <c r="Q244" s="46" t="str">
        <f aca="false">IF(H244="","",IF(I244&lt;&gt;"",I244,IF(D244="","",D244*$E$3)))</f>
        <v/>
      </c>
      <c r="R244" s="46" t="str">
        <f aca="false">IF(H244="","",H244*$E$4)</f>
        <v/>
      </c>
      <c r="S244" s="46" t="str">
        <f aca="false">IF(OR(F244="",H244="",Q244=""),"",H244-F244-Q244-R244)</f>
        <v/>
      </c>
      <c r="T244" s="24" t="str">
        <f aca="false">IF(OR(S244="",H244="",H244=0),"",S244/H244)</f>
        <v/>
      </c>
    </row>
    <row r="245" customFormat="false" ht="15" hidden="false" customHeight="false" outlineLevel="0" collapsed="false">
      <c r="A245" s="30"/>
      <c r="B245" s="30"/>
      <c r="C245" s="30"/>
      <c r="D245" s="27"/>
      <c r="E245" s="43"/>
      <c r="F245" s="41"/>
      <c r="G245" s="43"/>
      <c r="H245" s="41"/>
      <c r="I245" s="41"/>
      <c r="J245" s="30"/>
      <c r="K245" s="30"/>
      <c r="L245" s="30"/>
      <c r="M245" s="39" t="str">
        <f aca="false">IF(OR(E245="",G245=""),"",(G245-E245)/30.44)</f>
        <v/>
      </c>
      <c r="N245" s="46" t="str">
        <f aca="false">IF(OR(F245="",H245=""),"",H245-F245)</f>
        <v/>
      </c>
      <c r="O245" s="46" t="str">
        <f aca="false">IF(OR(F245="",D245="",D245=0),"",F245/D245)</f>
        <v/>
      </c>
      <c r="P245" s="46" t="str">
        <f aca="false">IF(OR(H245="",D245="",D245=0),"",H245/D245)</f>
        <v/>
      </c>
      <c r="Q245" s="46" t="str">
        <f aca="false">IF(H245="","",IF(I245&lt;&gt;"",I245,IF(D245="","",D245*$E$3)))</f>
        <v/>
      </c>
      <c r="R245" s="46" t="str">
        <f aca="false">IF(H245="","",H245*$E$4)</f>
        <v/>
      </c>
      <c r="S245" s="46" t="str">
        <f aca="false">IF(OR(F245="",H245="",Q245=""),"",H245-F245-Q245-R245)</f>
        <v/>
      </c>
      <c r="T245" s="24" t="str">
        <f aca="false">IF(OR(S245="",H245="",H245=0),"",S245/H245)</f>
        <v/>
      </c>
    </row>
    <row r="246" customFormat="false" ht="15" hidden="false" customHeight="false" outlineLevel="0" collapsed="false">
      <c r="A246" s="30"/>
      <c r="B246" s="30"/>
      <c r="C246" s="30"/>
      <c r="D246" s="27"/>
      <c r="E246" s="43"/>
      <c r="F246" s="41"/>
      <c r="G246" s="43"/>
      <c r="H246" s="41"/>
      <c r="I246" s="41"/>
      <c r="J246" s="30"/>
      <c r="K246" s="30"/>
      <c r="L246" s="30"/>
      <c r="M246" s="39" t="str">
        <f aca="false">IF(OR(E246="",G246=""),"",(G246-E246)/30.44)</f>
        <v/>
      </c>
      <c r="N246" s="46" t="str">
        <f aca="false">IF(OR(F246="",H246=""),"",H246-F246)</f>
        <v/>
      </c>
      <c r="O246" s="46" t="str">
        <f aca="false">IF(OR(F246="",D246="",D246=0),"",F246/D246)</f>
        <v/>
      </c>
      <c r="P246" s="46" t="str">
        <f aca="false">IF(OR(H246="",D246="",D246=0),"",H246/D246)</f>
        <v/>
      </c>
      <c r="Q246" s="46" t="str">
        <f aca="false">IF(H246="","",IF(I246&lt;&gt;"",I246,IF(D246="","",D246*$E$3)))</f>
        <v/>
      </c>
      <c r="R246" s="46" t="str">
        <f aca="false">IF(H246="","",H246*$E$4)</f>
        <v/>
      </c>
      <c r="S246" s="46" t="str">
        <f aca="false">IF(OR(F246="",H246="",Q246=""),"",H246-F246-Q246-R246)</f>
        <v/>
      </c>
      <c r="T246" s="24" t="str">
        <f aca="false">IF(OR(S246="",H246="",H246=0),"",S246/H246)</f>
        <v/>
      </c>
    </row>
    <row r="247" customFormat="false" ht="15" hidden="false" customHeight="false" outlineLevel="0" collapsed="false">
      <c r="A247" s="30"/>
      <c r="B247" s="30"/>
      <c r="C247" s="30"/>
      <c r="D247" s="27"/>
      <c r="E247" s="43"/>
      <c r="F247" s="41"/>
      <c r="G247" s="43"/>
      <c r="H247" s="41"/>
      <c r="I247" s="41"/>
      <c r="J247" s="30"/>
      <c r="K247" s="30"/>
      <c r="L247" s="30"/>
      <c r="M247" s="39" t="str">
        <f aca="false">IF(OR(E247="",G247=""),"",(G247-E247)/30.44)</f>
        <v/>
      </c>
      <c r="N247" s="46" t="str">
        <f aca="false">IF(OR(F247="",H247=""),"",H247-F247)</f>
        <v/>
      </c>
      <c r="O247" s="46" t="str">
        <f aca="false">IF(OR(F247="",D247="",D247=0),"",F247/D247)</f>
        <v/>
      </c>
      <c r="P247" s="46" t="str">
        <f aca="false">IF(OR(H247="",D247="",D247=0),"",H247/D247)</f>
        <v/>
      </c>
      <c r="Q247" s="46" t="str">
        <f aca="false">IF(H247="","",IF(I247&lt;&gt;"",I247,IF(D247="","",D247*$E$3)))</f>
        <v/>
      </c>
      <c r="R247" s="46" t="str">
        <f aca="false">IF(H247="","",H247*$E$4)</f>
        <v/>
      </c>
      <c r="S247" s="46" t="str">
        <f aca="false">IF(OR(F247="",H247="",Q247=""),"",H247-F247-Q247-R247)</f>
        <v/>
      </c>
      <c r="T247" s="24" t="str">
        <f aca="false">IF(OR(S247="",H247="",H247=0),"",S247/H247)</f>
        <v/>
      </c>
    </row>
    <row r="248" customFormat="false" ht="15" hidden="false" customHeight="false" outlineLevel="0" collapsed="false">
      <c r="A248" s="30"/>
      <c r="B248" s="30"/>
      <c r="C248" s="30"/>
      <c r="D248" s="27"/>
      <c r="E248" s="43"/>
      <c r="F248" s="41"/>
      <c r="G248" s="43"/>
      <c r="H248" s="41"/>
      <c r="I248" s="41"/>
      <c r="J248" s="30"/>
      <c r="K248" s="30"/>
      <c r="L248" s="30"/>
      <c r="M248" s="39" t="str">
        <f aca="false">IF(OR(E248="",G248=""),"",(G248-E248)/30.44)</f>
        <v/>
      </c>
      <c r="N248" s="46" t="str">
        <f aca="false">IF(OR(F248="",H248=""),"",H248-F248)</f>
        <v/>
      </c>
      <c r="O248" s="46" t="str">
        <f aca="false">IF(OR(F248="",D248="",D248=0),"",F248/D248)</f>
        <v/>
      </c>
      <c r="P248" s="46" t="str">
        <f aca="false">IF(OR(H248="",D248="",D248=0),"",H248/D248)</f>
        <v/>
      </c>
      <c r="Q248" s="46" t="str">
        <f aca="false">IF(H248="","",IF(I248&lt;&gt;"",I248,IF(D248="","",D248*$E$3)))</f>
        <v/>
      </c>
      <c r="R248" s="46" t="str">
        <f aca="false">IF(H248="","",H248*$E$4)</f>
        <v/>
      </c>
      <c r="S248" s="46" t="str">
        <f aca="false">IF(OR(F248="",H248="",Q248=""),"",H248-F248-Q248-R248)</f>
        <v/>
      </c>
      <c r="T248" s="24" t="str">
        <f aca="false">IF(OR(S248="",H248="",H248=0),"",S248/H248)</f>
        <v/>
      </c>
    </row>
    <row r="249" customFormat="false" ht="15" hidden="false" customHeight="false" outlineLevel="0" collapsed="false">
      <c r="A249" s="30"/>
      <c r="B249" s="30"/>
      <c r="C249" s="30"/>
      <c r="D249" s="27"/>
      <c r="E249" s="43"/>
      <c r="F249" s="41"/>
      <c r="G249" s="43"/>
      <c r="H249" s="41"/>
      <c r="I249" s="41"/>
      <c r="J249" s="30"/>
      <c r="K249" s="30"/>
      <c r="L249" s="30"/>
      <c r="M249" s="39" t="str">
        <f aca="false">IF(OR(E249="",G249=""),"",(G249-E249)/30.44)</f>
        <v/>
      </c>
      <c r="N249" s="46" t="str">
        <f aca="false">IF(OR(F249="",H249=""),"",H249-F249)</f>
        <v/>
      </c>
      <c r="O249" s="46" t="str">
        <f aca="false">IF(OR(F249="",D249="",D249=0),"",F249/D249)</f>
        <v/>
      </c>
      <c r="P249" s="46" t="str">
        <f aca="false">IF(OR(H249="",D249="",D249=0),"",H249/D249)</f>
        <v/>
      </c>
      <c r="Q249" s="46" t="str">
        <f aca="false">IF(H249="","",IF(I249&lt;&gt;"",I249,IF(D249="","",D249*$E$3)))</f>
        <v/>
      </c>
      <c r="R249" s="46" t="str">
        <f aca="false">IF(H249="","",H249*$E$4)</f>
        <v/>
      </c>
      <c r="S249" s="46" t="str">
        <f aca="false">IF(OR(F249="",H249="",Q249=""),"",H249-F249-Q249-R249)</f>
        <v/>
      </c>
      <c r="T249" s="24" t="str">
        <f aca="false">IF(OR(S249="",H249="",H249=0),"",S249/H249)</f>
        <v/>
      </c>
    </row>
    <row r="250" customFormat="false" ht="15" hidden="false" customHeight="false" outlineLevel="0" collapsed="false">
      <c r="A250" s="30"/>
      <c r="B250" s="30"/>
      <c r="C250" s="30"/>
      <c r="D250" s="27"/>
      <c r="E250" s="43"/>
      <c r="F250" s="41"/>
      <c r="G250" s="43"/>
      <c r="H250" s="41"/>
      <c r="I250" s="41"/>
      <c r="J250" s="30"/>
      <c r="K250" s="30"/>
      <c r="L250" s="30"/>
      <c r="M250" s="39" t="str">
        <f aca="false">IF(OR(E250="",G250=""),"",(G250-E250)/30.44)</f>
        <v/>
      </c>
      <c r="N250" s="46" t="str">
        <f aca="false">IF(OR(F250="",H250=""),"",H250-F250)</f>
        <v/>
      </c>
      <c r="O250" s="46" t="str">
        <f aca="false">IF(OR(F250="",D250="",D250=0),"",F250/D250)</f>
        <v/>
      </c>
      <c r="P250" s="46" t="str">
        <f aca="false">IF(OR(H250="",D250="",D250=0),"",H250/D250)</f>
        <v/>
      </c>
      <c r="Q250" s="46" t="str">
        <f aca="false">IF(H250="","",IF(I250&lt;&gt;"",I250,IF(D250="","",D250*$E$3)))</f>
        <v/>
      </c>
      <c r="R250" s="46" t="str">
        <f aca="false">IF(H250="","",H250*$E$4)</f>
        <v/>
      </c>
      <c r="S250" s="46" t="str">
        <f aca="false">IF(OR(F250="",H250="",Q250=""),"",H250-F250-Q250-R250)</f>
        <v/>
      </c>
      <c r="T250" s="24" t="str">
        <f aca="false">IF(OR(S250="",H250="",H250=0),"",S250/H250)</f>
        <v/>
      </c>
    </row>
    <row r="251" customFormat="false" ht="15" hidden="false" customHeight="false" outlineLevel="0" collapsed="false">
      <c r="A251" s="30"/>
      <c r="B251" s="30"/>
      <c r="C251" s="30"/>
      <c r="D251" s="27"/>
      <c r="E251" s="43"/>
      <c r="F251" s="41"/>
      <c r="G251" s="43"/>
      <c r="H251" s="41"/>
      <c r="I251" s="41"/>
      <c r="J251" s="30"/>
      <c r="K251" s="30"/>
      <c r="L251" s="30"/>
      <c r="M251" s="39" t="str">
        <f aca="false">IF(OR(E251="",G251=""),"",(G251-E251)/30.44)</f>
        <v/>
      </c>
      <c r="N251" s="46" t="str">
        <f aca="false">IF(OR(F251="",H251=""),"",H251-F251)</f>
        <v/>
      </c>
      <c r="O251" s="46" t="str">
        <f aca="false">IF(OR(F251="",D251="",D251=0),"",F251/D251)</f>
        <v/>
      </c>
      <c r="P251" s="46" t="str">
        <f aca="false">IF(OR(H251="",D251="",D251=0),"",H251/D251)</f>
        <v/>
      </c>
      <c r="Q251" s="46" t="str">
        <f aca="false">IF(H251="","",IF(I251&lt;&gt;"",I251,IF(D251="","",D251*$E$3)))</f>
        <v/>
      </c>
      <c r="R251" s="46" t="str">
        <f aca="false">IF(H251="","",H251*$E$4)</f>
        <v/>
      </c>
      <c r="S251" s="46" t="str">
        <f aca="false">IF(OR(F251="",H251="",Q251=""),"",H251-F251-Q251-R251)</f>
        <v/>
      </c>
      <c r="T251" s="24" t="str">
        <f aca="false">IF(OR(S251="",H251="",H251=0),"",S251/H251)</f>
        <v/>
      </c>
    </row>
    <row r="252" customFormat="false" ht="15" hidden="false" customHeight="false" outlineLevel="0" collapsed="false">
      <c r="A252" s="30"/>
      <c r="B252" s="30"/>
      <c r="C252" s="30"/>
      <c r="D252" s="27"/>
      <c r="E252" s="43"/>
      <c r="F252" s="41"/>
      <c r="G252" s="43"/>
      <c r="H252" s="41"/>
      <c r="I252" s="41"/>
      <c r="J252" s="30"/>
      <c r="K252" s="30"/>
      <c r="L252" s="30"/>
      <c r="M252" s="39" t="str">
        <f aca="false">IF(OR(E252="",G252=""),"",(G252-E252)/30.44)</f>
        <v/>
      </c>
      <c r="N252" s="46" t="str">
        <f aca="false">IF(OR(F252="",H252=""),"",H252-F252)</f>
        <v/>
      </c>
      <c r="O252" s="46" t="str">
        <f aca="false">IF(OR(F252="",D252="",D252=0),"",F252/D252)</f>
        <v/>
      </c>
      <c r="P252" s="46" t="str">
        <f aca="false">IF(OR(H252="",D252="",D252=0),"",H252/D252)</f>
        <v/>
      </c>
      <c r="Q252" s="46" t="str">
        <f aca="false">IF(H252="","",IF(I252&lt;&gt;"",I252,IF(D252="","",D252*$E$3)))</f>
        <v/>
      </c>
      <c r="R252" s="46" t="str">
        <f aca="false">IF(H252="","",H252*$E$4)</f>
        <v/>
      </c>
      <c r="S252" s="46" t="str">
        <f aca="false">IF(OR(F252="",H252="",Q252=""),"",H252-F252-Q252-R252)</f>
        <v/>
      </c>
      <c r="T252" s="24" t="str">
        <f aca="false">IF(OR(S252="",H252="",H252=0),"",S252/H252)</f>
        <v/>
      </c>
    </row>
    <row r="253" customFormat="false" ht="15" hidden="false" customHeight="false" outlineLevel="0" collapsed="false">
      <c r="A253" s="30"/>
      <c r="B253" s="30"/>
      <c r="C253" s="30"/>
      <c r="D253" s="27"/>
      <c r="E253" s="43"/>
      <c r="F253" s="41"/>
      <c r="G253" s="43"/>
      <c r="H253" s="41"/>
      <c r="I253" s="41"/>
      <c r="J253" s="30"/>
      <c r="K253" s="30"/>
      <c r="L253" s="30"/>
      <c r="M253" s="39" t="str">
        <f aca="false">IF(OR(E253="",G253=""),"",(G253-E253)/30.44)</f>
        <v/>
      </c>
      <c r="N253" s="46" t="str">
        <f aca="false">IF(OR(F253="",H253=""),"",H253-F253)</f>
        <v/>
      </c>
      <c r="O253" s="46" t="str">
        <f aca="false">IF(OR(F253="",D253="",D253=0),"",F253/D253)</f>
        <v/>
      </c>
      <c r="P253" s="46" t="str">
        <f aca="false">IF(OR(H253="",D253="",D253=0),"",H253/D253)</f>
        <v/>
      </c>
      <c r="Q253" s="46" t="str">
        <f aca="false">IF(H253="","",IF(I253&lt;&gt;"",I253,IF(D253="","",D253*$E$3)))</f>
        <v/>
      </c>
      <c r="R253" s="46" t="str">
        <f aca="false">IF(H253="","",H253*$E$4)</f>
        <v/>
      </c>
      <c r="S253" s="46" t="str">
        <f aca="false">IF(OR(F253="",H253="",Q253=""),"",H253-F253-Q253-R253)</f>
        <v/>
      </c>
      <c r="T253" s="24" t="str">
        <f aca="false">IF(OR(S253="",H253="",H253=0),"",S253/H253)</f>
        <v/>
      </c>
    </row>
    <row r="254" customFormat="false" ht="15" hidden="false" customHeight="false" outlineLevel="0" collapsed="false">
      <c r="A254" s="30"/>
      <c r="B254" s="30"/>
      <c r="C254" s="30"/>
      <c r="D254" s="27"/>
      <c r="E254" s="43"/>
      <c r="F254" s="41"/>
      <c r="G254" s="43"/>
      <c r="H254" s="41"/>
      <c r="I254" s="41"/>
      <c r="J254" s="30"/>
      <c r="K254" s="30"/>
      <c r="L254" s="30"/>
      <c r="M254" s="39" t="str">
        <f aca="false">IF(OR(E254="",G254=""),"",(G254-E254)/30.44)</f>
        <v/>
      </c>
      <c r="N254" s="46" t="str">
        <f aca="false">IF(OR(F254="",H254=""),"",H254-F254)</f>
        <v/>
      </c>
      <c r="O254" s="46" t="str">
        <f aca="false">IF(OR(F254="",D254="",D254=0),"",F254/D254)</f>
        <v/>
      </c>
      <c r="P254" s="46" t="str">
        <f aca="false">IF(OR(H254="",D254="",D254=0),"",H254/D254)</f>
        <v/>
      </c>
      <c r="Q254" s="46" t="str">
        <f aca="false">IF(H254="","",IF(I254&lt;&gt;"",I254,IF(D254="","",D254*$E$3)))</f>
        <v/>
      </c>
      <c r="R254" s="46" t="str">
        <f aca="false">IF(H254="","",H254*$E$4)</f>
        <v/>
      </c>
      <c r="S254" s="46" t="str">
        <f aca="false">IF(OR(F254="",H254="",Q254=""),"",H254-F254-Q254-R254)</f>
        <v/>
      </c>
      <c r="T254" s="24" t="str">
        <f aca="false">IF(OR(S254="",H254="",H254=0),"",S254/H254)</f>
        <v/>
      </c>
    </row>
    <row r="255" customFormat="false" ht="15" hidden="false" customHeight="false" outlineLevel="0" collapsed="false">
      <c r="A255" s="30"/>
      <c r="B255" s="30"/>
      <c r="C255" s="30"/>
      <c r="D255" s="27"/>
      <c r="E255" s="43"/>
      <c r="F255" s="41"/>
      <c r="G255" s="43"/>
      <c r="H255" s="41"/>
      <c r="I255" s="41"/>
      <c r="J255" s="30"/>
      <c r="K255" s="30"/>
      <c r="L255" s="30"/>
      <c r="M255" s="39" t="str">
        <f aca="false">IF(OR(E255="",G255=""),"",(G255-E255)/30.44)</f>
        <v/>
      </c>
      <c r="N255" s="46" t="str">
        <f aca="false">IF(OR(F255="",H255=""),"",H255-F255)</f>
        <v/>
      </c>
      <c r="O255" s="46" t="str">
        <f aca="false">IF(OR(F255="",D255="",D255=0),"",F255/D255)</f>
        <v/>
      </c>
      <c r="P255" s="46" t="str">
        <f aca="false">IF(OR(H255="",D255="",D255=0),"",H255/D255)</f>
        <v/>
      </c>
      <c r="Q255" s="46" t="str">
        <f aca="false">IF(H255="","",IF(I255&lt;&gt;"",I255,IF(D255="","",D255*$E$3)))</f>
        <v/>
      </c>
      <c r="R255" s="46" t="str">
        <f aca="false">IF(H255="","",H255*$E$4)</f>
        <v/>
      </c>
      <c r="S255" s="46" t="str">
        <f aca="false">IF(OR(F255="",H255="",Q255=""),"",H255-F255-Q255-R255)</f>
        <v/>
      </c>
      <c r="T255" s="24" t="str">
        <f aca="false">IF(OR(S255="",H255="",H255=0),"",S255/H255)</f>
        <v/>
      </c>
    </row>
    <row r="256" customFormat="false" ht="15" hidden="false" customHeight="false" outlineLevel="0" collapsed="false">
      <c r="A256" s="30"/>
      <c r="B256" s="30"/>
      <c r="C256" s="30"/>
      <c r="D256" s="27"/>
      <c r="E256" s="43"/>
      <c r="F256" s="41"/>
      <c r="G256" s="43"/>
      <c r="H256" s="41"/>
      <c r="I256" s="41"/>
      <c r="J256" s="30"/>
      <c r="K256" s="30"/>
      <c r="L256" s="30"/>
      <c r="M256" s="39" t="str">
        <f aca="false">IF(OR(E256="",G256=""),"",(G256-E256)/30.44)</f>
        <v/>
      </c>
      <c r="N256" s="46" t="str">
        <f aca="false">IF(OR(F256="",H256=""),"",H256-F256)</f>
        <v/>
      </c>
      <c r="O256" s="46" t="str">
        <f aca="false">IF(OR(F256="",D256="",D256=0),"",F256/D256)</f>
        <v/>
      </c>
      <c r="P256" s="46" t="str">
        <f aca="false">IF(OR(H256="",D256="",D256=0),"",H256/D256)</f>
        <v/>
      </c>
      <c r="Q256" s="46" t="str">
        <f aca="false">IF(H256="","",IF(I256&lt;&gt;"",I256,IF(D256="","",D256*$E$3)))</f>
        <v/>
      </c>
      <c r="R256" s="46" t="str">
        <f aca="false">IF(H256="","",H256*$E$4)</f>
        <v/>
      </c>
      <c r="S256" s="46" t="str">
        <f aca="false">IF(OR(F256="",H256="",Q256=""),"",H256-F256-Q256-R256)</f>
        <v/>
      </c>
      <c r="T256" s="24" t="str">
        <f aca="false">IF(OR(S256="",H256="",H256=0),"",S256/H256)</f>
        <v/>
      </c>
    </row>
    <row r="257" customFormat="false" ht="15" hidden="false" customHeight="false" outlineLevel="0" collapsed="false">
      <c r="A257" s="30"/>
      <c r="B257" s="30"/>
      <c r="C257" s="30"/>
      <c r="D257" s="27"/>
      <c r="E257" s="43"/>
      <c r="F257" s="41"/>
      <c r="G257" s="43"/>
      <c r="H257" s="41"/>
      <c r="I257" s="41"/>
      <c r="J257" s="30"/>
      <c r="K257" s="30"/>
      <c r="L257" s="30"/>
      <c r="M257" s="39" t="str">
        <f aca="false">IF(OR(E257="",G257=""),"",(G257-E257)/30.44)</f>
        <v/>
      </c>
      <c r="N257" s="46" t="str">
        <f aca="false">IF(OR(F257="",H257=""),"",H257-F257)</f>
        <v/>
      </c>
      <c r="O257" s="46" t="str">
        <f aca="false">IF(OR(F257="",D257="",D257=0),"",F257/D257)</f>
        <v/>
      </c>
      <c r="P257" s="46" t="str">
        <f aca="false">IF(OR(H257="",D257="",D257=0),"",H257/D257)</f>
        <v/>
      </c>
      <c r="Q257" s="46" t="str">
        <f aca="false">IF(H257="","",IF(I257&lt;&gt;"",I257,IF(D257="","",D257*$E$3)))</f>
        <v/>
      </c>
      <c r="R257" s="46" t="str">
        <f aca="false">IF(H257="","",H257*$E$4)</f>
        <v/>
      </c>
      <c r="S257" s="46" t="str">
        <f aca="false">IF(OR(F257="",H257="",Q257=""),"",H257-F257-Q257-R257)</f>
        <v/>
      </c>
      <c r="T257" s="24" t="str">
        <f aca="false">IF(OR(S257="",H257="",H257=0),"",S257/H257)</f>
        <v/>
      </c>
    </row>
    <row r="258" customFormat="false" ht="15" hidden="false" customHeight="false" outlineLevel="0" collapsed="false">
      <c r="A258" s="30"/>
      <c r="B258" s="30"/>
      <c r="C258" s="30"/>
      <c r="D258" s="27"/>
      <c r="E258" s="43"/>
      <c r="F258" s="41"/>
      <c r="G258" s="43"/>
      <c r="H258" s="41"/>
      <c r="I258" s="41"/>
      <c r="J258" s="30"/>
      <c r="K258" s="30"/>
      <c r="L258" s="30"/>
      <c r="M258" s="39" t="str">
        <f aca="false">IF(OR(E258="",G258=""),"",(G258-E258)/30.44)</f>
        <v/>
      </c>
      <c r="N258" s="46" t="str">
        <f aca="false">IF(OR(F258="",H258=""),"",H258-F258)</f>
        <v/>
      </c>
      <c r="O258" s="46" t="str">
        <f aca="false">IF(OR(F258="",D258="",D258=0),"",F258/D258)</f>
        <v/>
      </c>
      <c r="P258" s="46" t="str">
        <f aca="false">IF(OR(H258="",D258="",D258=0),"",H258/D258)</f>
        <v/>
      </c>
      <c r="Q258" s="46" t="str">
        <f aca="false">IF(H258="","",IF(I258&lt;&gt;"",I258,IF(D258="","",D258*$E$3)))</f>
        <v/>
      </c>
      <c r="R258" s="46" t="str">
        <f aca="false">IF(H258="","",H258*$E$4)</f>
        <v/>
      </c>
      <c r="S258" s="46" t="str">
        <f aca="false">IF(OR(F258="",H258="",Q258=""),"",H258-F258-Q258-R258)</f>
        <v/>
      </c>
      <c r="T258" s="24" t="str">
        <f aca="false">IF(OR(S258="",H258="",H258=0),"",S258/H258)</f>
        <v/>
      </c>
    </row>
    <row r="259" customFormat="false" ht="15" hidden="false" customHeight="false" outlineLevel="0" collapsed="false">
      <c r="A259" s="30"/>
      <c r="B259" s="30"/>
      <c r="C259" s="30"/>
      <c r="D259" s="27"/>
      <c r="E259" s="43"/>
      <c r="F259" s="41"/>
      <c r="G259" s="43"/>
      <c r="H259" s="41"/>
      <c r="I259" s="41"/>
      <c r="J259" s="30"/>
      <c r="K259" s="30"/>
      <c r="L259" s="30"/>
      <c r="M259" s="39" t="str">
        <f aca="false">IF(OR(E259="",G259=""),"",(G259-E259)/30.44)</f>
        <v/>
      </c>
      <c r="N259" s="46" t="str">
        <f aca="false">IF(OR(F259="",H259=""),"",H259-F259)</f>
        <v/>
      </c>
      <c r="O259" s="46" t="str">
        <f aca="false">IF(OR(F259="",D259="",D259=0),"",F259/D259)</f>
        <v/>
      </c>
      <c r="P259" s="46" t="str">
        <f aca="false">IF(OR(H259="",D259="",D259=0),"",H259/D259)</f>
        <v/>
      </c>
      <c r="Q259" s="46" t="str">
        <f aca="false">IF(H259="","",IF(I259&lt;&gt;"",I259,IF(D259="","",D259*$E$3)))</f>
        <v/>
      </c>
      <c r="R259" s="46" t="str">
        <f aca="false">IF(H259="","",H259*$E$4)</f>
        <v/>
      </c>
      <c r="S259" s="46" t="str">
        <f aca="false">IF(OR(F259="",H259="",Q259=""),"",H259-F259-Q259-R259)</f>
        <v/>
      </c>
      <c r="T259" s="24" t="str">
        <f aca="false">IF(OR(S259="",H259="",H259=0),"",S259/H259)</f>
        <v/>
      </c>
    </row>
    <row r="260" customFormat="false" ht="15" hidden="false" customHeight="false" outlineLevel="0" collapsed="false">
      <c r="A260" s="30"/>
      <c r="B260" s="30"/>
      <c r="C260" s="30"/>
      <c r="D260" s="27"/>
      <c r="E260" s="43"/>
      <c r="F260" s="41"/>
      <c r="G260" s="43"/>
      <c r="H260" s="41"/>
      <c r="I260" s="41"/>
      <c r="J260" s="30"/>
      <c r="K260" s="30"/>
      <c r="L260" s="30"/>
      <c r="M260" s="39" t="str">
        <f aca="false">IF(OR(E260="",G260=""),"",(G260-E260)/30.44)</f>
        <v/>
      </c>
      <c r="N260" s="46" t="str">
        <f aca="false">IF(OR(F260="",H260=""),"",H260-F260)</f>
        <v/>
      </c>
      <c r="O260" s="46" t="str">
        <f aca="false">IF(OR(F260="",D260="",D260=0),"",F260/D260)</f>
        <v/>
      </c>
      <c r="P260" s="46" t="str">
        <f aca="false">IF(OR(H260="",D260="",D260=0),"",H260/D260)</f>
        <v/>
      </c>
      <c r="Q260" s="46" t="str">
        <f aca="false">IF(H260="","",IF(I260&lt;&gt;"",I260,IF(D260="","",D260*$E$3)))</f>
        <v/>
      </c>
      <c r="R260" s="46" t="str">
        <f aca="false">IF(H260="","",H260*$E$4)</f>
        <v/>
      </c>
      <c r="S260" s="46" t="str">
        <f aca="false">IF(OR(F260="",H260="",Q260=""),"",H260-F260-Q260-R260)</f>
        <v/>
      </c>
      <c r="T260" s="24" t="str">
        <f aca="false">IF(OR(S260="",H260="",H260=0),"",S260/H260)</f>
        <v/>
      </c>
    </row>
    <row r="261" customFormat="false" ht="15" hidden="false" customHeight="false" outlineLevel="0" collapsed="false">
      <c r="A261" s="30"/>
      <c r="B261" s="30"/>
      <c r="C261" s="30"/>
      <c r="D261" s="27"/>
      <c r="E261" s="43"/>
      <c r="F261" s="41"/>
      <c r="G261" s="43"/>
      <c r="H261" s="41"/>
      <c r="I261" s="41"/>
      <c r="J261" s="30"/>
      <c r="K261" s="30"/>
      <c r="L261" s="30"/>
      <c r="M261" s="39" t="str">
        <f aca="false">IF(OR(E261="",G261=""),"",(G261-E261)/30.44)</f>
        <v/>
      </c>
      <c r="N261" s="46" t="str">
        <f aca="false">IF(OR(F261="",H261=""),"",H261-F261)</f>
        <v/>
      </c>
      <c r="O261" s="46" t="str">
        <f aca="false">IF(OR(F261="",D261="",D261=0),"",F261/D261)</f>
        <v/>
      </c>
      <c r="P261" s="46" t="str">
        <f aca="false">IF(OR(H261="",D261="",D261=0),"",H261/D261)</f>
        <v/>
      </c>
      <c r="Q261" s="46" t="str">
        <f aca="false">IF(H261="","",IF(I261&lt;&gt;"",I261,IF(D261="","",D261*$E$3)))</f>
        <v/>
      </c>
      <c r="R261" s="46" t="str">
        <f aca="false">IF(H261="","",H261*$E$4)</f>
        <v/>
      </c>
      <c r="S261" s="46" t="str">
        <f aca="false">IF(OR(F261="",H261="",Q261=""),"",H261-F261-Q261-R261)</f>
        <v/>
      </c>
      <c r="T261" s="24" t="str">
        <f aca="false">IF(OR(S261="",H261="",H261=0),"",S261/H261)</f>
        <v/>
      </c>
    </row>
    <row r="262" customFormat="false" ht="15" hidden="false" customHeight="false" outlineLevel="0" collapsed="false">
      <c r="A262" s="30"/>
      <c r="B262" s="30"/>
      <c r="C262" s="30"/>
      <c r="D262" s="27"/>
      <c r="E262" s="43"/>
      <c r="F262" s="41"/>
      <c r="G262" s="43"/>
      <c r="H262" s="41"/>
      <c r="I262" s="41"/>
      <c r="J262" s="30"/>
      <c r="K262" s="30"/>
      <c r="L262" s="30"/>
      <c r="M262" s="39" t="str">
        <f aca="false">IF(OR(E262="",G262=""),"",(G262-E262)/30.44)</f>
        <v/>
      </c>
      <c r="N262" s="46" t="str">
        <f aca="false">IF(OR(F262="",H262=""),"",H262-F262)</f>
        <v/>
      </c>
      <c r="O262" s="46" t="str">
        <f aca="false">IF(OR(F262="",D262="",D262=0),"",F262/D262)</f>
        <v/>
      </c>
      <c r="P262" s="46" t="str">
        <f aca="false">IF(OR(H262="",D262="",D262=0),"",H262/D262)</f>
        <v/>
      </c>
      <c r="Q262" s="46" t="str">
        <f aca="false">IF(H262="","",IF(I262&lt;&gt;"",I262,IF(D262="","",D262*$E$3)))</f>
        <v/>
      </c>
      <c r="R262" s="46" t="str">
        <f aca="false">IF(H262="","",H262*$E$4)</f>
        <v/>
      </c>
      <c r="S262" s="46" t="str">
        <f aca="false">IF(OR(F262="",H262="",Q262=""),"",H262-F262-Q262-R262)</f>
        <v/>
      </c>
      <c r="T262" s="24" t="str">
        <f aca="false">IF(OR(S262="",H262="",H262=0),"",S262/H262)</f>
        <v/>
      </c>
    </row>
    <row r="263" customFormat="false" ht="15" hidden="false" customHeight="false" outlineLevel="0" collapsed="false">
      <c r="A263" s="30"/>
      <c r="B263" s="30"/>
      <c r="C263" s="30"/>
      <c r="D263" s="27"/>
      <c r="E263" s="43"/>
      <c r="F263" s="41"/>
      <c r="G263" s="43"/>
      <c r="H263" s="41"/>
      <c r="I263" s="41"/>
      <c r="J263" s="30"/>
      <c r="K263" s="30"/>
      <c r="L263" s="30"/>
      <c r="M263" s="39" t="str">
        <f aca="false">IF(OR(E263="",G263=""),"",(G263-E263)/30.44)</f>
        <v/>
      </c>
      <c r="N263" s="46" t="str">
        <f aca="false">IF(OR(F263="",H263=""),"",H263-F263)</f>
        <v/>
      </c>
      <c r="O263" s="46" t="str">
        <f aca="false">IF(OR(F263="",D263="",D263=0),"",F263/D263)</f>
        <v/>
      </c>
      <c r="P263" s="46" t="str">
        <f aca="false">IF(OR(H263="",D263="",D263=0),"",H263/D263)</f>
        <v/>
      </c>
      <c r="Q263" s="46" t="str">
        <f aca="false">IF(H263="","",IF(I263&lt;&gt;"",I263,IF(D263="","",D263*$E$3)))</f>
        <v/>
      </c>
      <c r="R263" s="46" t="str">
        <f aca="false">IF(H263="","",H263*$E$4)</f>
        <v/>
      </c>
      <c r="S263" s="46" t="str">
        <f aca="false">IF(OR(F263="",H263="",Q263=""),"",H263-F263-Q263-R263)</f>
        <v/>
      </c>
      <c r="T263" s="24" t="str">
        <f aca="false">IF(OR(S263="",H263="",H263=0),"",S263/H263)</f>
        <v/>
      </c>
    </row>
    <row r="264" customFormat="false" ht="15" hidden="false" customHeight="false" outlineLevel="0" collapsed="false">
      <c r="A264" s="30"/>
      <c r="B264" s="30"/>
      <c r="C264" s="30"/>
      <c r="D264" s="27"/>
      <c r="E264" s="43"/>
      <c r="F264" s="41"/>
      <c r="G264" s="43"/>
      <c r="H264" s="41"/>
      <c r="I264" s="41"/>
      <c r="J264" s="30"/>
      <c r="K264" s="30"/>
      <c r="L264" s="30"/>
      <c r="M264" s="39" t="str">
        <f aca="false">IF(OR(E264="",G264=""),"",(G264-E264)/30.44)</f>
        <v/>
      </c>
      <c r="N264" s="46" t="str">
        <f aca="false">IF(OR(F264="",H264=""),"",H264-F264)</f>
        <v/>
      </c>
      <c r="O264" s="46" t="str">
        <f aca="false">IF(OR(F264="",D264="",D264=0),"",F264/D264)</f>
        <v/>
      </c>
      <c r="P264" s="46" t="str">
        <f aca="false">IF(OR(H264="",D264="",D264=0),"",H264/D264)</f>
        <v/>
      </c>
      <c r="Q264" s="46" t="str">
        <f aca="false">IF(H264="","",IF(I264&lt;&gt;"",I264,IF(D264="","",D264*$E$3)))</f>
        <v/>
      </c>
      <c r="R264" s="46" t="str">
        <f aca="false">IF(H264="","",H264*$E$4)</f>
        <v/>
      </c>
      <c r="S264" s="46" t="str">
        <f aca="false">IF(OR(F264="",H264="",Q264=""),"",H264-F264-Q264-R264)</f>
        <v/>
      </c>
      <c r="T264" s="24" t="str">
        <f aca="false">IF(OR(S264="",H264="",H264=0),"",S264/H264)</f>
        <v/>
      </c>
    </row>
    <row r="265" customFormat="false" ht="15" hidden="false" customHeight="false" outlineLevel="0" collapsed="false">
      <c r="A265" s="30"/>
      <c r="B265" s="30"/>
      <c r="C265" s="30"/>
      <c r="D265" s="27"/>
      <c r="E265" s="43"/>
      <c r="F265" s="41"/>
      <c r="G265" s="43"/>
      <c r="H265" s="41"/>
      <c r="I265" s="41"/>
      <c r="J265" s="30"/>
      <c r="K265" s="30"/>
      <c r="L265" s="30"/>
      <c r="M265" s="39" t="str">
        <f aca="false">IF(OR(E265="",G265=""),"",(G265-E265)/30.44)</f>
        <v/>
      </c>
      <c r="N265" s="46" t="str">
        <f aca="false">IF(OR(F265="",H265=""),"",H265-F265)</f>
        <v/>
      </c>
      <c r="O265" s="46" t="str">
        <f aca="false">IF(OR(F265="",D265="",D265=0),"",F265/D265)</f>
        <v/>
      </c>
      <c r="P265" s="46" t="str">
        <f aca="false">IF(OR(H265="",D265="",D265=0),"",H265/D265)</f>
        <v/>
      </c>
      <c r="Q265" s="46" t="str">
        <f aca="false">IF(H265="","",IF(I265&lt;&gt;"",I265,IF(D265="","",D265*$E$3)))</f>
        <v/>
      </c>
      <c r="R265" s="46" t="str">
        <f aca="false">IF(H265="","",H265*$E$4)</f>
        <v/>
      </c>
      <c r="S265" s="46" t="str">
        <f aca="false">IF(OR(F265="",H265="",Q265=""),"",H265-F265-Q265-R265)</f>
        <v/>
      </c>
      <c r="T265" s="24" t="str">
        <f aca="false">IF(OR(S265="",H265="",H265=0),"",S265/H265)</f>
        <v/>
      </c>
    </row>
    <row r="266" customFormat="false" ht="15" hidden="false" customHeight="false" outlineLevel="0" collapsed="false">
      <c r="A266" s="30"/>
      <c r="B266" s="30"/>
      <c r="C266" s="30"/>
      <c r="D266" s="27"/>
      <c r="E266" s="43"/>
      <c r="F266" s="41"/>
      <c r="G266" s="43"/>
      <c r="H266" s="41"/>
      <c r="I266" s="41"/>
      <c r="J266" s="30"/>
      <c r="K266" s="30"/>
      <c r="L266" s="30"/>
      <c r="M266" s="39" t="str">
        <f aca="false">IF(OR(E266="",G266=""),"",(G266-E266)/30.44)</f>
        <v/>
      </c>
      <c r="N266" s="46" t="str">
        <f aca="false">IF(OR(F266="",H266=""),"",H266-F266)</f>
        <v/>
      </c>
      <c r="O266" s="46" t="str">
        <f aca="false">IF(OR(F266="",D266="",D266=0),"",F266/D266)</f>
        <v/>
      </c>
      <c r="P266" s="46" t="str">
        <f aca="false">IF(OR(H266="",D266="",D266=0),"",H266/D266)</f>
        <v/>
      </c>
      <c r="Q266" s="46" t="str">
        <f aca="false">IF(H266="","",IF(I266&lt;&gt;"",I266,IF(D266="","",D266*$E$3)))</f>
        <v/>
      </c>
      <c r="R266" s="46" t="str">
        <f aca="false">IF(H266="","",H266*$E$4)</f>
        <v/>
      </c>
      <c r="S266" s="46" t="str">
        <f aca="false">IF(OR(F266="",H266="",Q266=""),"",H266-F266-Q266-R266)</f>
        <v/>
      </c>
      <c r="T266" s="24" t="str">
        <f aca="false">IF(OR(S266="",H266="",H266=0),"",S266/H266)</f>
        <v/>
      </c>
    </row>
    <row r="267" customFormat="false" ht="15" hidden="false" customHeight="false" outlineLevel="0" collapsed="false">
      <c r="A267" s="30"/>
      <c r="B267" s="30"/>
      <c r="C267" s="30"/>
      <c r="D267" s="27"/>
      <c r="E267" s="43"/>
      <c r="F267" s="41"/>
      <c r="G267" s="43"/>
      <c r="H267" s="41"/>
      <c r="I267" s="41"/>
      <c r="J267" s="30"/>
      <c r="K267" s="30"/>
      <c r="L267" s="30"/>
      <c r="M267" s="39" t="str">
        <f aca="false">IF(OR(E267="",G267=""),"",(G267-E267)/30.44)</f>
        <v/>
      </c>
      <c r="N267" s="46" t="str">
        <f aca="false">IF(OR(F267="",H267=""),"",H267-F267)</f>
        <v/>
      </c>
      <c r="O267" s="46" t="str">
        <f aca="false">IF(OR(F267="",D267="",D267=0),"",F267/D267)</f>
        <v/>
      </c>
      <c r="P267" s="46" t="str">
        <f aca="false">IF(OR(H267="",D267="",D267=0),"",H267/D267)</f>
        <v/>
      </c>
      <c r="Q267" s="46" t="str">
        <f aca="false">IF(H267="","",IF(I267&lt;&gt;"",I267,IF(D267="","",D267*$E$3)))</f>
        <v/>
      </c>
      <c r="R267" s="46" t="str">
        <f aca="false">IF(H267="","",H267*$E$4)</f>
        <v/>
      </c>
      <c r="S267" s="46" t="str">
        <f aca="false">IF(OR(F267="",H267="",Q267=""),"",H267-F267-Q267-R267)</f>
        <v/>
      </c>
      <c r="T267" s="24" t="str">
        <f aca="false">IF(OR(S267="",H267="",H267=0),"",S267/H267)</f>
        <v/>
      </c>
    </row>
    <row r="268" customFormat="false" ht="15" hidden="false" customHeight="false" outlineLevel="0" collapsed="false">
      <c r="A268" s="30"/>
      <c r="B268" s="30"/>
      <c r="C268" s="30"/>
      <c r="D268" s="27"/>
      <c r="E268" s="43"/>
      <c r="F268" s="41"/>
      <c r="G268" s="43"/>
      <c r="H268" s="41"/>
      <c r="I268" s="41"/>
      <c r="J268" s="30"/>
      <c r="K268" s="30"/>
      <c r="L268" s="30"/>
      <c r="M268" s="39" t="str">
        <f aca="false">IF(OR(E268="",G268=""),"",(G268-E268)/30.44)</f>
        <v/>
      </c>
      <c r="N268" s="46" t="str">
        <f aca="false">IF(OR(F268="",H268=""),"",H268-F268)</f>
        <v/>
      </c>
      <c r="O268" s="46" t="str">
        <f aca="false">IF(OR(F268="",D268="",D268=0),"",F268/D268)</f>
        <v/>
      </c>
      <c r="P268" s="46" t="str">
        <f aca="false">IF(OR(H268="",D268="",D268=0),"",H268/D268)</f>
        <v/>
      </c>
      <c r="Q268" s="46" t="str">
        <f aca="false">IF(H268="","",IF(I268&lt;&gt;"",I268,IF(D268="","",D268*$E$3)))</f>
        <v/>
      </c>
      <c r="R268" s="46" t="str">
        <f aca="false">IF(H268="","",H268*$E$4)</f>
        <v/>
      </c>
      <c r="S268" s="46" t="str">
        <f aca="false">IF(OR(F268="",H268="",Q268=""),"",H268-F268-Q268-R268)</f>
        <v/>
      </c>
      <c r="T268" s="24" t="str">
        <f aca="false">IF(OR(S268="",H268="",H268=0),"",S268/H268)</f>
        <v/>
      </c>
    </row>
    <row r="269" customFormat="false" ht="15" hidden="false" customHeight="false" outlineLevel="0" collapsed="false">
      <c r="A269" s="30"/>
      <c r="B269" s="30"/>
      <c r="C269" s="30"/>
      <c r="D269" s="27"/>
      <c r="E269" s="43"/>
      <c r="F269" s="41"/>
      <c r="G269" s="43"/>
      <c r="H269" s="41"/>
      <c r="I269" s="41"/>
      <c r="J269" s="30"/>
      <c r="K269" s="30"/>
      <c r="L269" s="30"/>
      <c r="M269" s="39" t="str">
        <f aca="false">IF(OR(E269="",G269=""),"",(G269-E269)/30.44)</f>
        <v/>
      </c>
      <c r="N269" s="46" t="str">
        <f aca="false">IF(OR(F269="",H269=""),"",H269-F269)</f>
        <v/>
      </c>
      <c r="O269" s="46" t="str">
        <f aca="false">IF(OR(F269="",D269="",D269=0),"",F269/D269)</f>
        <v/>
      </c>
      <c r="P269" s="46" t="str">
        <f aca="false">IF(OR(H269="",D269="",D269=0),"",H269/D269)</f>
        <v/>
      </c>
      <c r="Q269" s="46" t="str">
        <f aca="false">IF(H269="","",IF(I269&lt;&gt;"",I269,IF(D269="","",D269*$E$3)))</f>
        <v/>
      </c>
      <c r="R269" s="46" t="str">
        <f aca="false">IF(H269="","",H269*$E$4)</f>
        <v/>
      </c>
      <c r="S269" s="46" t="str">
        <f aca="false">IF(OR(F269="",H269="",Q269=""),"",H269-F269-Q269-R269)</f>
        <v/>
      </c>
      <c r="T269" s="24" t="str">
        <f aca="false">IF(OR(S269="",H269="",H269=0),"",S269/H269)</f>
        <v/>
      </c>
    </row>
    <row r="270" customFormat="false" ht="15" hidden="false" customHeight="false" outlineLevel="0" collapsed="false">
      <c r="A270" s="30"/>
      <c r="B270" s="30"/>
      <c r="C270" s="30"/>
      <c r="D270" s="27"/>
      <c r="E270" s="43"/>
      <c r="F270" s="41"/>
      <c r="G270" s="43"/>
      <c r="H270" s="41"/>
      <c r="I270" s="41"/>
      <c r="J270" s="30"/>
      <c r="K270" s="30"/>
      <c r="L270" s="30"/>
      <c r="M270" s="39" t="str">
        <f aca="false">IF(OR(E270="",G270=""),"",(G270-E270)/30.44)</f>
        <v/>
      </c>
      <c r="N270" s="46" t="str">
        <f aca="false">IF(OR(F270="",H270=""),"",H270-F270)</f>
        <v/>
      </c>
      <c r="O270" s="46" t="str">
        <f aca="false">IF(OR(F270="",D270="",D270=0),"",F270/D270)</f>
        <v/>
      </c>
      <c r="P270" s="46" t="str">
        <f aca="false">IF(OR(H270="",D270="",D270=0),"",H270/D270)</f>
        <v/>
      </c>
      <c r="Q270" s="46" t="str">
        <f aca="false">IF(H270="","",IF(I270&lt;&gt;"",I270,IF(D270="","",D270*$E$3)))</f>
        <v/>
      </c>
      <c r="R270" s="46" t="str">
        <f aca="false">IF(H270="","",H270*$E$4)</f>
        <v/>
      </c>
      <c r="S270" s="46" t="str">
        <f aca="false">IF(OR(F270="",H270="",Q270=""),"",H270-F270-Q270-R270)</f>
        <v/>
      </c>
      <c r="T270" s="24" t="str">
        <f aca="false">IF(OR(S270="",H270="",H270=0),"",S270/H270)</f>
        <v/>
      </c>
    </row>
    <row r="271" customFormat="false" ht="15" hidden="false" customHeight="false" outlineLevel="0" collapsed="false">
      <c r="A271" s="30"/>
      <c r="B271" s="30"/>
      <c r="C271" s="30"/>
      <c r="D271" s="27"/>
      <c r="E271" s="43"/>
      <c r="F271" s="41"/>
      <c r="G271" s="43"/>
      <c r="H271" s="41"/>
      <c r="I271" s="41"/>
      <c r="J271" s="30"/>
      <c r="K271" s="30"/>
      <c r="L271" s="30"/>
      <c r="M271" s="39" t="str">
        <f aca="false">IF(OR(E271="",G271=""),"",(G271-E271)/30.44)</f>
        <v/>
      </c>
      <c r="N271" s="46" t="str">
        <f aca="false">IF(OR(F271="",H271=""),"",H271-F271)</f>
        <v/>
      </c>
      <c r="O271" s="46" t="str">
        <f aca="false">IF(OR(F271="",D271="",D271=0),"",F271/D271)</f>
        <v/>
      </c>
      <c r="P271" s="46" t="str">
        <f aca="false">IF(OR(H271="",D271="",D271=0),"",H271/D271)</f>
        <v/>
      </c>
      <c r="Q271" s="46" t="str">
        <f aca="false">IF(H271="","",IF(I271&lt;&gt;"",I271,IF(D271="","",D271*$E$3)))</f>
        <v/>
      </c>
      <c r="R271" s="46" t="str">
        <f aca="false">IF(H271="","",H271*$E$4)</f>
        <v/>
      </c>
      <c r="S271" s="46" t="str">
        <f aca="false">IF(OR(F271="",H271="",Q271=""),"",H271-F271-Q271-R271)</f>
        <v/>
      </c>
      <c r="T271" s="24" t="str">
        <f aca="false">IF(OR(S271="",H271="",H271=0),"",S271/H271)</f>
        <v/>
      </c>
    </row>
    <row r="272" customFormat="false" ht="15" hidden="false" customHeight="false" outlineLevel="0" collapsed="false">
      <c r="A272" s="30"/>
      <c r="B272" s="30"/>
      <c r="C272" s="30"/>
      <c r="D272" s="27"/>
      <c r="E272" s="43"/>
      <c r="F272" s="41"/>
      <c r="G272" s="43"/>
      <c r="H272" s="41"/>
      <c r="I272" s="41"/>
      <c r="J272" s="30"/>
      <c r="K272" s="30"/>
      <c r="L272" s="30"/>
      <c r="M272" s="39" t="str">
        <f aca="false">IF(OR(E272="",G272=""),"",(G272-E272)/30.44)</f>
        <v/>
      </c>
      <c r="N272" s="46" t="str">
        <f aca="false">IF(OR(F272="",H272=""),"",H272-F272)</f>
        <v/>
      </c>
      <c r="O272" s="46" t="str">
        <f aca="false">IF(OR(F272="",D272="",D272=0),"",F272/D272)</f>
        <v/>
      </c>
      <c r="P272" s="46" t="str">
        <f aca="false">IF(OR(H272="",D272="",D272=0),"",H272/D272)</f>
        <v/>
      </c>
      <c r="Q272" s="46" t="str">
        <f aca="false">IF(H272="","",IF(I272&lt;&gt;"",I272,IF(D272="","",D272*$E$3)))</f>
        <v/>
      </c>
      <c r="R272" s="46" t="str">
        <f aca="false">IF(H272="","",H272*$E$4)</f>
        <v/>
      </c>
      <c r="S272" s="46" t="str">
        <f aca="false">IF(OR(F272="",H272="",Q272=""),"",H272-F272-Q272-R272)</f>
        <v/>
      </c>
      <c r="T272" s="24" t="str">
        <f aca="false">IF(OR(S272="",H272="",H272=0),"",S272/H272)</f>
        <v/>
      </c>
    </row>
    <row r="273" customFormat="false" ht="15" hidden="false" customHeight="false" outlineLevel="0" collapsed="false">
      <c r="A273" s="30"/>
      <c r="B273" s="30"/>
      <c r="C273" s="30"/>
      <c r="D273" s="27"/>
      <c r="E273" s="43"/>
      <c r="F273" s="41"/>
      <c r="G273" s="43"/>
      <c r="H273" s="41"/>
      <c r="I273" s="41"/>
      <c r="J273" s="30"/>
      <c r="K273" s="30"/>
      <c r="L273" s="30"/>
      <c r="M273" s="39" t="str">
        <f aca="false">IF(OR(E273="",G273=""),"",(G273-E273)/30.44)</f>
        <v/>
      </c>
      <c r="N273" s="46" t="str">
        <f aca="false">IF(OR(F273="",H273=""),"",H273-F273)</f>
        <v/>
      </c>
      <c r="O273" s="46" t="str">
        <f aca="false">IF(OR(F273="",D273="",D273=0),"",F273/D273)</f>
        <v/>
      </c>
      <c r="P273" s="46" t="str">
        <f aca="false">IF(OR(H273="",D273="",D273=0),"",H273/D273)</f>
        <v/>
      </c>
      <c r="Q273" s="46" t="str">
        <f aca="false">IF(H273="","",IF(I273&lt;&gt;"",I273,IF(D273="","",D273*$E$3)))</f>
        <v/>
      </c>
      <c r="R273" s="46" t="str">
        <f aca="false">IF(H273="","",H273*$E$4)</f>
        <v/>
      </c>
      <c r="S273" s="46" t="str">
        <f aca="false">IF(OR(F273="",H273="",Q273=""),"",H273-F273-Q273-R273)</f>
        <v/>
      </c>
      <c r="T273" s="24" t="str">
        <f aca="false">IF(OR(S273="",H273="",H273=0),"",S273/H273)</f>
        <v/>
      </c>
    </row>
    <row r="274" customFormat="false" ht="15" hidden="false" customHeight="false" outlineLevel="0" collapsed="false">
      <c r="A274" s="30"/>
      <c r="B274" s="30"/>
      <c r="C274" s="30"/>
      <c r="D274" s="27"/>
      <c r="E274" s="43"/>
      <c r="F274" s="41"/>
      <c r="G274" s="43"/>
      <c r="H274" s="41"/>
      <c r="I274" s="41"/>
      <c r="J274" s="30"/>
      <c r="K274" s="30"/>
      <c r="L274" s="30"/>
      <c r="M274" s="39" t="str">
        <f aca="false">IF(OR(E274="",G274=""),"",(G274-E274)/30.44)</f>
        <v/>
      </c>
      <c r="N274" s="46" t="str">
        <f aca="false">IF(OR(F274="",H274=""),"",H274-F274)</f>
        <v/>
      </c>
      <c r="O274" s="46" t="str">
        <f aca="false">IF(OR(F274="",D274="",D274=0),"",F274/D274)</f>
        <v/>
      </c>
      <c r="P274" s="46" t="str">
        <f aca="false">IF(OR(H274="",D274="",D274=0),"",H274/D274)</f>
        <v/>
      </c>
      <c r="Q274" s="46" t="str">
        <f aca="false">IF(H274="","",IF(I274&lt;&gt;"",I274,IF(D274="","",D274*$E$3)))</f>
        <v/>
      </c>
      <c r="R274" s="46" t="str">
        <f aca="false">IF(H274="","",H274*$E$4)</f>
        <v/>
      </c>
      <c r="S274" s="46" t="str">
        <f aca="false">IF(OR(F274="",H274="",Q274=""),"",H274-F274-Q274-R274)</f>
        <v/>
      </c>
      <c r="T274" s="24" t="str">
        <f aca="false">IF(OR(S274="",H274="",H274=0),"",S274/H274)</f>
        <v/>
      </c>
    </row>
    <row r="275" customFormat="false" ht="15" hidden="false" customHeight="false" outlineLevel="0" collapsed="false">
      <c r="A275" s="30"/>
      <c r="B275" s="30"/>
      <c r="C275" s="30"/>
      <c r="D275" s="27"/>
      <c r="E275" s="43"/>
      <c r="F275" s="41"/>
      <c r="G275" s="43"/>
      <c r="H275" s="41"/>
      <c r="I275" s="41"/>
      <c r="J275" s="30"/>
      <c r="K275" s="30"/>
      <c r="L275" s="30"/>
      <c r="M275" s="39" t="str">
        <f aca="false">IF(OR(E275="",G275=""),"",(G275-E275)/30.44)</f>
        <v/>
      </c>
      <c r="N275" s="46" t="str">
        <f aca="false">IF(OR(F275="",H275=""),"",H275-F275)</f>
        <v/>
      </c>
      <c r="O275" s="46" t="str">
        <f aca="false">IF(OR(F275="",D275="",D275=0),"",F275/D275)</f>
        <v/>
      </c>
      <c r="P275" s="46" t="str">
        <f aca="false">IF(OR(H275="",D275="",D275=0),"",H275/D275)</f>
        <v/>
      </c>
      <c r="Q275" s="46" t="str">
        <f aca="false">IF(H275="","",IF(I275&lt;&gt;"",I275,IF(D275="","",D275*$E$3)))</f>
        <v/>
      </c>
      <c r="R275" s="46" t="str">
        <f aca="false">IF(H275="","",H275*$E$4)</f>
        <v/>
      </c>
      <c r="S275" s="46" t="str">
        <f aca="false">IF(OR(F275="",H275="",Q275=""),"",H275-F275-Q275-R275)</f>
        <v/>
      </c>
      <c r="T275" s="24" t="str">
        <f aca="false">IF(OR(S275="",H275="",H275=0),"",S275/H275)</f>
        <v/>
      </c>
    </row>
    <row r="276" customFormat="false" ht="15" hidden="false" customHeight="false" outlineLevel="0" collapsed="false">
      <c r="A276" s="30"/>
      <c r="B276" s="30"/>
      <c r="C276" s="30"/>
      <c r="D276" s="27"/>
      <c r="E276" s="43"/>
      <c r="F276" s="41"/>
      <c r="G276" s="43"/>
      <c r="H276" s="41"/>
      <c r="I276" s="41"/>
      <c r="J276" s="30"/>
      <c r="K276" s="30"/>
      <c r="L276" s="30"/>
      <c r="M276" s="39" t="str">
        <f aca="false">IF(OR(E276="",G276=""),"",(G276-E276)/30.44)</f>
        <v/>
      </c>
      <c r="N276" s="46" t="str">
        <f aca="false">IF(OR(F276="",H276=""),"",H276-F276)</f>
        <v/>
      </c>
      <c r="O276" s="46" t="str">
        <f aca="false">IF(OR(F276="",D276="",D276=0),"",F276/D276)</f>
        <v/>
      </c>
      <c r="P276" s="46" t="str">
        <f aca="false">IF(OR(H276="",D276="",D276=0),"",H276/D276)</f>
        <v/>
      </c>
      <c r="Q276" s="46" t="str">
        <f aca="false">IF(H276="","",IF(I276&lt;&gt;"",I276,IF(D276="","",D276*$E$3)))</f>
        <v/>
      </c>
      <c r="R276" s="46" t="str">
        <f aca="false">IF(H276="","",H276*$E$4)</f>
        <v/>
      </c>
      <c r="S276" s="46" t="str">
        <f aca="false">IF(OR(F276="",H276="",Q276=""),"",H276-F276-Q276-R276)</f>
        <v/>
      </c>
      <c r="T276" s="24" t="str">
        <f aca="false">IF(OR(S276="",H276="",H276=0),"",S276/H276)</f>
        <v/>
      </c>
    </row>
    <row r="277" customFormat="false" ht="15" hidden="false" customHeight="false" outlineLevel="0" collapsed="false">
      <c r="A277" s="30"/>
      <c r="B277" s="30"/>
      <c r="C277" s="30"/>
      <c r="D277" s="27"/>
      <c r="E277" s="43"/>
      <c r="F277" s="41"/>
      <c r="G277" s="43"/>
      <c r="H277" s="41"/>
      <c r="I277" s="41"/>
      <c r="J277" s="30"/>
      <c r="K277" s="30"/>
      <c r="L277" s="30"/>
      <c r="M277" s="39" t="str">
        <f aca="false">IF(OR(E277="",G277=""),"",(G277-E277)/30.44)</f>
        <v/>
      </c>
      <c r="N277" s="46" t="str">
        <f aca="false">IF(OR(F277="",H277=""),"",H277-F277)</f>
        <v/>
      </c>
      <c r="O277" s="46" t="str">
        <f aca="false">IF(OR(F277="",D277="",D277=0),"",F277/D277)</f>
        <v/>
      </c>
      <c r="P277" s="46" t="str">
        <f aca="false">IF(OR(H277="",D277="",D277=0),"",H277/D277)</f>
        <v/>
      </c>
      <c r="Q277" s="46" t="str">
        <f aca="false">IF(H277="","",IF(I277&lt;&gt;"",I277,IF(D277="","",D277*$E$3)))</f>
        <v/>
      </c>
      <c r="R277" s="46" t="str">
        <f aca="false">IF(H277="","",H277*$E$4)</f>
        <v/>
      </c>
      <c r="S277" s="46" t="str">
        <f aca="false">IF(OR(F277="",H277="",Q277=""),"",H277-F277-Q277-R277)</f>
        <v/>
      </c>
      <c r="T277" s="24" t="str">
        <f aca="false">IF(OR(S277="",H277="",H277=0),"",S277/H277)</f>
        <v/>
      </c>
    </row>
    <row r="278" customFormat="false" ht="15" hidden="false" customHeight="false" outlineLevel="0" collapsed="false">
      <c r="A278" s="30"/>
      <c r="B278" s="30"/>
      <c r="C278" s="30"/>
      <c r="D278" s="27"/>
      <c r="E278" s="43"/>
      <c r="F278" s="41"/>
      <c r="G278" s="43"/>
      <c r="H278" s="41"/>
      <c r="I278" s="41"/>
      <c r="J278" s="30"/>
      <c r="K278" s="30"/>
      <c r="L278" s="30"/>
      <c r="M278" s="39" t="str">
        <f aca="false">IF(OR(E278="",G278=""),"",(G278-E278)/30.44)</f>
        <v/>
      </c>
      <c r="N278" s="46" t="str">
        <f aca="false">IF(OR(F278="",H278=""),"",H278-F278)</f>
        <v/>
      </c>
      <c r="O278" s="46" t="str">
        <f aca="false">IF(OR(F278="",D278="",D278=0),"",F278/D278)</f>
        <v/>
      </c>
      <c r="P278" s="46" t="str">
        <f aca="false">IF(OR(H278="",D278="",D278=0),"",H278/D278)</f>
        <v/>
      </c>
      <c r="Q278" s="46" t="str">
        <f aca="false">IF(H278="","",IF(I278&lt;&gt;"",I278,IF(D278="","",D278*$E$3)))</f>
        <v/>
      </c>
      <c r="R278" s="46" t="str">
        <f aca="false">IF(H278="","",H278*$E$4)</f>
        <v/>
      </c>
      <c r="S278" s="46" t="str">
        <f aca="false">IF(OR(F278="",H278="",Q278=""),"",H278-F278-Q278-R278)</f>
        <v/>
      </c>
      <c r="T278" s="24" t="str">
        <f aca="false">IF(OR(S278="",H278="",H278=0),"",S278/H278)</f>
        <v/>
      </c>
    </row>
    <row r="279" customFormat="false" ht="15" hidden="false" customHeight="false" outlineLevel="0" collapsed="false">
      <c r="A279" s="30"/>
      <c r="B279" s="30"/>
      <c r="C279" s="30"/>
      <c r="D279" s="27"/>
      <c r="E279" s="43"/>
      <c r="F279" s="41"/>
      <c r="G279" s="43"/>
      <c r="H279" s="41"/>
      <c r="I279" s="41"/>
      <c r="J279" s="30"/>
      <c r="K279" s="30"/>
      <c r="L279" s="30"/>
      <c r="M279" s="39" t="str">
        <f aca="false">IF(OR(E279="",G279=""),"",(G279-E279)/30.44)</f>
        <v/>
      </c>
      <c r="N279" s="46" t="str">
        <f aca="false">IF(OR(F279="",H279=""),"",H279-F279)</f>
        <v/>
      </c>
      <c r="O279" s="46" t="str">
        <f aca="false">IF(OR(F279="",D279="",D279=0),"",F279/D279)</f>
        <v/>
      </c>
      <c r="P279" s="46" t="str">
        <f aca="false">IF(OR(H279="",D279="",D279=0),"",H279/D279)</f>
        <v/>
      </c>
      <c r="Q279" s="46" t="str">
        <f aca="false">IF(H279="","",IF(I279&lt;&gt;"",I279,IF(D279="","",D279*$E$3)))</f>
        <v/>
      </c>
      <c r="R279" s="46" t="str">
        <f aca="false">IF(H279="","",H279*$E$4)</f>
        <v/>
      </c>
      <c r="S279" s="46" t="str">
        <f aca="false">IF(OR(F279="",H279="",Q279=""),"",H279-F279-Q279-R279)</f>
        <v/>
      </c>
      <c r="T279" s="24" t="str">
        <f aca="false">IF(OR(S279="",H279="",H279=0),"",S279/H279)</f>
        <v/>
      </c>
    </row>
    <row r="280" customFormat="false" ht="15" hidden="false" customHeight="false" outlineLevel="0" collapsed="false">
      <c r="A280" s="30"/>
      <c r="B280" s="30"/>
      <c r="C280" s="30"/>
      <c r="D280" s="27"/>
      <c r="E280" s="43"/>
      <c r="F280" s="41"/>
      <c r="G280" s="43"/>
      <c r="H280" s="41"/>
      <c r="I280" s="41"/>
      <c r="J280" s="30"/>
      <c r="K280" s="30"/>
      <c r="L280" s="30"/>
      <c r="M280" s="39" t="str">
        <f aca="false">IF(OR(E280="",G280=""),"",(G280-E280)/30.44)</f>
        <v/>
      </c>
      <c r="N280" s="46" t="str">
        <f aca="false">IF(OR(F280="",H280=""),"",H280-F280)</f>
        <v/>
      </c>
      <c r="O280" s="46" t="str">
        <f aca="false">IF(OR(F280="",D280="",D280=0),"",F280/D280)</f>
        <v/>
      </c>
      <c r="P280" s="46" t="str">
        <f aca="false">IF(OR(H280="",D280="",D280=0),"",H280/D280)</f>
        <v/>
      </c>
      <c r="Q280" s="46" t="str">
        <f aca="false">IF(H280="","",IF(I280&lt;&gt;"",I280,IF(D280="","",D280*$E$3)))</f>
        <v/>
      </c>
      <c r="R280" s="46" t="str">
        <f aca="false">IF(H280="","",H280*$E$4)</f>
        <v/>
      </c>
      <c r="S280" s="46" t="str">
        <f aca="false">IF(OR(F280="",H280="",Q280=""),"",H280-F280-Q280-R280)</f>
        <v/>
      </c>
      <c r="T280" s="24" t="str">
        <f aca="false">IF(OR(S280="",H280="",H280=0),"",S280/H280)</f>
        <v/>
      </c>
    </row>
    <row r="281" customFormat="false" ht="15" hidden="false" customHeight="false" outlineLevel="0" collapsed="false">
      <c r="A281" s="30"/>
      <c r="B281" s="30"/>
      <c r="C281" s="30"/>
      <c r="D281" s="27"/>
      <c r="E281" s="43"/>
      <c r="F281" s="41"/>
      <c r="G281" s="43"/>
      <c r="H281" s="41"/>
      <c r="I281" s="41"/>
      <c r="J281" s="30"/>
      <c r="K281" s="30"/>
      <c r="L281" s="30"/>
      <c r="M281" s="39" t="str">
        <f aca="false">IF(OR(E281="",G281=""),"",(G281-E281)/30.44)</f>
        <v/>
      </c>
      <c r="N281" s="46" t="str">
        <f aca="false">IF(OR(F281="",H281=""),"",H281-F281)</f>
        <v/>
      </c>
      <c r="O281" s="46" t="str">
        <f aca="false">IF(OR(F281="",D281="",D281=0),"",F281/D281)</f>
        <v/>
      </c>
      <c r="P281" s="46" t="str">
        <f aca="false">IF(OR(H281="",D281="",D281=0),"",H281/D281)</f>
        <v/>
      </c>
      <c r="Q281" s="46" t="str">
        <f aca="false">IF(H281="","",IF(I281&lt;&gt;"",I281,IF(D281="","",D281*$E$3)))</f>
        <v/>
      </c>
      <c r="R281" s="46" t="str">
        <f aca="false">IF(H281="","",H281*$E$4)</f>
        <v/>
      </c>
      <c r="S281" s="46" t="str">
        <f aca="false">IF(OR(F281="",H281="",Q281=""),"",H281-F281-Q281-R281)</f>
        <v/>
      </c>
      <c r="T281" s="24" t="str">
        <f aca="false">IF(OR(S281="",H281="",H281=0),"",S281/H281)</f>
        <v/>
      </c>
    </row>
    <row r="282" customFormat="false" ht="15" hidden="false" customHeight="false" outlineLevel="0" collapsed="false">
      <c r="A282" s="30"/>
      <c r="B282" s="30"/>
      <c r="C282" s="30"/>
      <c r="D282" s="27"/>
      <c r="E282" s="43"/>
      <c r="F282" s="41"/>
      <c r="G282" s="43"/>
      <c r="H282" s="41"/>
      <c r="I282" s="41"/>
      <c r="J282" s="30"/>
      <c r="K282" s="30"/>
      <c r="L282" s="30"/>
      <c r="M282" s="39" t="str">
        <f aca="false">IF(OR(E282="",G282=""),"",(G282-E282)/30.44)</f>
        <v/>
      </c>
      <c r="N282" s="46" t="str">
        <f aca="false">IF(OR(F282="",H282=""),"",H282-F282)</f>
        <v/>
      </c>
      <c r="O282" s="46" t="str">
        <f aca="false">IF(OR(F282="",D282="",D282=0),"",F282/D282)</f>
        <v/>
      </c>
      <c r="P282" s="46" t="str">
        <f aca="false">IF(OR(H282="",D282="",D282=0),"",H282/D282)</f>
        <v/>
      </c>
      <c r="Q282" s="46" t="str">
        <f aca="false">IF(H282="","",IF(I282&lt;&gt;"",I282,IF(D282="","",D282*$E$3)))</f>
        <v/>
      </c>
      <c r="R282" s="46" t="str">
        <f aca="false">IF(H282="","",H282*$E$4)</f>
        <v/>
      </c>
      <c r="S282" s="46" t="str">
        <f aca="false">IF(OR(F282="",H282="",Q282=""),"",H282-F282-Q282-R282)</f>
        <v/>
      </c>
      <c r="T282" s="24" t="str">
        <f aca="false">IF(OR(S282="",H282="",H282=0),"",S282/H282)</f>
        <v/>
      </c>
    </row>
    <row r="283" customFormat="false" ht="15" hidden="false" customHeight="false" outlineLevel="0" collapsed="false">
      <c r="A283" s="30"/>
      <c r="B283" s="30"/>
      <c r="C283" s="30"/>
      <c r="D283" s="27"/>
      <c r="E283" s="43"/>
      <c r="F283" s="41"/>
      <c r="G283" s="43"/>
      <c r="H283" s="41"/>
      <c r="I283" s="41"/>
      <c r="J283" s="30"/>
      <c r="K283" s="30"/>
      <c r="L283" s="30"/>
      <c r="M283" s="39" t="str">
        <f aca="false">IF(OR(E283="",G283=""),"",(G283-E283)/30.44)</f>
        <v/>
      </c>
      <c r="N283" s="46" t="str">
        <f aca="false">IF(OR(F283="",H283=""),"",H283-F283)</f>
        <v/>
      </c>
      <c r="O283" s="46" t="str">
        <f aca="false">IF(OR(F283="",D283="",D283=0),"",F283/D283)</f>
        <v/>
      </c>
      <c r="P283" s="46" t="str">
        <f aca="false">IF(OR(H283="",D283="",D283=0),"",H283/D283)</f>
        <v/>
      </c>
      <c r="Q283" s="46" t="str">
        <f aca="false">IF(H283="","",IF(I283&lt;&gt;"",I283,IF(D283="","",D283*$E$3)))</f>
        <v/>
      </c>
      <c r="R283" s="46" t="str">
        <f aca="false">IF(H283="","",H283*$E$4)</f>
        <v/>
      </c>
      <c r="S283" s="46" t="str">
        <f aca="false">IF(OR(F283="",H283="",Q283=""),"",H283-F283-Q283-R283)</f>
        <v/>
      </c>
      <c r="T283" s="24" t="str">
        <f aca="false">IF(OR(S283="",H283="",H283=0),"",S283/H283)</f>
        <v/>
      </c>
    </row>
    <row r="284" customFormat="false" ht="15" hidden="false" customHeight="false" outlineLevel="0" collapsed="false">
      <c r="A284" s="30"/>
      <c r="B284" s="30"/>
      <c r="C284" s="30"/>
      <c r="D284" s="27"/>
      <c r="E284" s="43"/>
      <c r="F284" s="41"/>
      <c r="G284" s="43"/>
      <c r="H284" s="41"/>
      <c r="I284" s="41"/>
      <c r="J284" s="30"/>
      <c r="K284" s="30"/>
      <c r="L284" s="30"/>
      <c r="M284" s="39" t="str">
        <f aca="false">IF(OR(E284="",G284=""),"",(G284-E284)/30.44)</f>
        <v/>
      </c>
      <c r="N284" s="46" t="str">
        <f aca="false">IF(OR(F284="",H284=""),"",H284-F284)</f>
        <v/>
      </c>
      <c r="O284" s="46" t="str">
        <f aca="false">IF(OR(F284="",D284="",D284=0),"",F284/D284)</f>
        <v/>
      </c>
      <c r="P284" s="46" t="str">
        <f aca="false">IF(OR(H284="",D284="",D284=0),"",H284/D284)</f>
        <v/>
      </c>
      <c r="Q284" s="46" t="str">
        <f aca="false">IF(H284="","",IF(I284&lt;&gt;"",I284,IF(D284="","",D284*$E$3)))</f>
        <v/>
      </c>
      <c r="R284" s="46" t="str">
        <f aca="false">IF(H284="","",H284*$E$4)</f>
        <v/>
      </c>
      <c r="S284" s="46" t="str">
        <f aca="false">IF(OR(F284="",H284="",Q284=""),"",H284-F284-Q284-R284)</f>
        <v/>
      </c>
      <c r="T284" s="24" t="str">
        <f aca="false">IF(OR(S284="",H284="",H284=0),"",S284/H284)</f>
        <v/>
      </c>
    </row>
    <row r="285" customFormat="false" ht="15" hidden="false" customHeight="false" outlineLevel="0" collapsed="false">
      <c r="A285" s="30"/>
      <c r="B285" s="30"/>
      <c r="C285" s="30"/>
      <c r="D285" s="27"/>
      <c r="E285" s="43"/>
      <c r="F285" s="41"/>
      <c r="G285" s="43"/>
      <c r="H285" s="41"/>
      <c r="I285" s="41"/>
      <c r="J285" s="30"/>
      <c r="K285" s="30"/>
      <c r="L285" s="30"/>
      <c r="M285" s="39" t="str">
        <f aca="false">IF(OR(E285="",G285=""),"",(G285-E285)/30.44)</f>
        <v/>
      </c>
      <c r="N285" s="46" t="str">
        <f aca="false">IF(OR(F285="",H285=""),"",H285-F285)</f>
        <v/>
      </c>
      <c r="O285" s="46" t="str">
        <f aca="false">IF(OR(F285="",D285="",D285=0),"",F285/D285)</f>
        <v/>
      </c>
      <c r="P285" s="46" t="str">
        <f aca="false">IF(OR(H285="",D285="",D285=0),"",H285/D285)</f>
        <v/>
      </c>
      <c r="Q285" s="46" t="str">
        <f aca="false">IF(H285="","",IF(I285&lt;&gt;"",I285,IF(D285="","",D285*$E$3)))</f>
        <v/>
      </c>
      <c r="R285" s="46" t="str">
        <f aca="false">IF(H285="","",H285*$E$4)</f>
        <v/>
      </c>
      <c r="S285" s="46" t="str">
        <f aca="false">IF(OR(F285="",H285="",Q285=""),"",H285-F285-Q285-R285)</f>
        <v/>
      </c>
      <c r="T285" s="24" t="str">
        <f aca="false">IF(OR(S285="",H285="",H285=0),"",S285/H285)</f>
        <v/>
      </c>
    </row>
    <row r="286" customFormat="false" ht="15" hidden="false" customHeight="false" outlineLevel="0" collapsed="false">
      <c r="A286" s="30"/>
      <c r="B286" s="30"/>
      <c r="C286" s="30"/>
      <c r="D286" s="27"/>
      <c r="E286" s="43"/>
      <c r="F286" s="41"/>
      <c r="G286" s="43"/>
      <c r="H286" s="41"/>
      <c r="I286" s="41"/>
      <c r="J286" s="30"/>
      <c r="K286" s="30"/>
      <c r="L286" s="30"/>
      <c r="M286" s="39" t="str">
        <f aca="false">IF(OR(E286="",G286=""),"",(G286-E286)/30.44)</f>
        <v/>
      </c>
      <c r="N286" s="46" t="str">
        <f aca="false">IF(OR(F286="",H286=""),"",H286-F286)</f>
        <v/>
      </c>
      <c r="O286" s="46" t="str">
        <f aca="false">IF(OR(F286="",D286="",D286=0),"",F286/D286)</f>
        <v/>
      </c>
      <c r="P286" s="46" t="str">
        <f aca="false">IF(OR(H286="",D286="",D286=0),"",H286/D286)</f>
        <v/>
      </c>
      <c r="Q286" s="46" t="str">
        <f aca="false">IF(H286="","",IF(I286&lt;&gt;"",I286,IF(D286="","",D286*$E$3)))</f>
        <v/>
      </c>
      <c r="R286" s="46" t="str">
        <f aca="false">IF(H286="","",H286*$E$4)</f>
        <v/>
      </c>
      <c r="S286" s="46" t="str">
        <f aca="false">IF(OR(F286="",H286="",Q286=""),"",H286-F286-Q286-R286)</f>
        <v/>
      </c>
      <c r="T286" s="24" t="str">
        <f aca="false">IF(OR(S286="",H286="",H286=0),"",S286/H286)</f>
        <v/>
      </c>
    </row>
    <row r="287" customFormat="false" ht="15" hidden="false" customHeight="false" outlineLevel="0" collapsed="false">
      <c r="A287" s="30"/>
      <c r="B287" s="30"/>
      <c r="C287" s="30"/>
      <c r="D287" s="27"/>
      <c r="E287" s="43"/>
      <c r="F287" s="41"/>
      <c r="G287" s="43"/>
      <c r="H287" s="41"/>
      <c r="I287" s="41"/>
      <c r="J287" s="30"/>
      <c r="K287" s="30"/>
      <c r="L287" s="30"/>
      <c r="M287" s="39" t="str">
        <f aca="false">IF(OR(E287="",G287=""),"",(G287-E287)/30.44)</f>
        <v/>
      </c>
      <c r="N287" s="46" t="str">
        <f aca="false">IF(OR(F287="",H287=""),"",H287-F287)</f>
        <v/>
      </c>
      <c r="O287" s="46" t="str">
        <f aca="false">IF(OR(F287="",D287="",D287=0),"",F287/D287)</f>
        <v/>
      </c>
      <c r="P287" s="46" t="str">
        <f aca="false">IF(OR(H287="",D287="",D287=0),"",H287/D287)</f>
        <v/>
      </c>
      <c r="Q287" s="46" t="str">
        <f aca="false">IF(H287="","",IF(I287&lt;&gt;"",I287,IF(D287="","",D287*$E$3)))</f>
        <v/>
      </c>
      <c r="R287" s="46" t="str">
        <f aca="false">IF(H287="","",H287*$E$4)</f>
        <v/>
      </c>
      <c r="S287" s="46" t="str">
        <f aca="false">IF(OR(F287="",H287="",Q287=""),"",H287-F287-Q287-R287)</f>
        <v/>
      </c>
      <c r="T287" s="24" t="str">
        <f aca="false">IF(OR(S287="",H287="",H287=0),"",S287/H287)</f>
        <v/>
      </c>
    </row>
    <row r="288" customFormat="false" ht="15" hidden="false" customHeight="false" outlineLevel="0" collapsed="false">
      <c r="A288" s="30"/>
      <c r="B288" s="30"/>
      <c r="C288" s="30"/>
      <c r="D288" s="27"/>
      <c r="E288" s="43"/>
      <c r="F288" s="41"/>
      <c r="G288" s="43"/>
      <c r="H288" s="41"/>
      <c r="I288" s="41"/>
      <c r="J288" s="30"/>
      <c r="K288" s="30"/>
      <c r="L288" s="30"/>
      <c r="M288" s="39" t="str">
        <f aca="false">IF(OR(E288="",G288=""),"",(G288-E288)/30.44)</f>
        <v/>
      </c>
      <c r="N288" s="46" t="str">
        <f aca="false">IF(OR(F288="",H288=""),"",H288-F288)</f>
        <v/>
      </c>
      <c r="O288" s="46" t="str">
        <f aca="false">IF(OR(F288="",D288="",D288=0),"",F288/D288)</f>
        <v/>
      </c>
      <c r="P288" s="46" t="str">
        <f aca="false">IF(OR(H288="",D288="",D288=0),"",H288/D288)</f>
        <v/>
      </c>
      <c r="Q288" s="46" t="str">
        <f aca="false">IF(H288="","",IF(I288&lt;&gt;"",I288,IF(D288="","",D288*$E$3)))</f>
        <v/>
      </c>
      <c r="R288" s="46" t="str">
        <f aca="false">IF(H288="","",H288*$E$4)</f>
        <v/>
      </c>
      <c r="S288" s="46" t="str">
        <f aca="false">IF(OR(F288="",H288="",Q288=""),"",H288-F288-Q288-R288)</f>
        <v/>
      </c>
      <c r="T288" s="24" t="str">
        <f aca="false">IF(OR(S288="",H288="",H288=0),"",S288/H288)</f>
        <v/>
      </c>
    </row>
    <row r="289" customFormat="false" ht="15" hidden="false" customHeight="false" outlineLevel="0" collapsed="false">
      <c r="A289" s="30"/>
      <c r="B289" s="30"/>
      <c r="C289" s="30"/>
      <c r="D289" s="27"/>
      <c r="E289" s="43"/>
      <c r="F289" s="41"/>
      <c r="G289" s="43"/>
      <c r="H289" s="41"/>
      <c r="I289" s="41"/>
      <c r="J289" s="30"/>
      <c r="K289" s="30"/>
      <c r="L289" s="30"/>
      <c r="M289" s="39" t="str">
        <f aca="false">IF(OR(E289="",G289=""),"",(G289-E289)/30.44)</f>
        <v/>
      </c>
      <c r="N289" s="46" t="str">
        <f aca="false">IF(OR(F289="",H289=""),"",H289-F289)</f>
        <v/>
      </c>
      <c r="O289" s="46" t="str">
        <f aca="false">IF(OR(F289="",D289="",D289=0),"",F289/D289)</f>
        <v/>
      </c>
      <c r="P289" s="46" t="str">
        <f aca="false">IF(OR(H289="",D289="",D289=0),"",H289/D289)</f>
        <v/>
      </c>
      <c r="Q289" s="46" t="str">
        <f aca="false">IF(H289="","",IF(I289&lt;&gt;"",I289,IF(D289="","",D289*$E$3)))</f>
        <v/>
      </c>
      <c r="R289" s="46" t="str">
        <f aca="false">IF(H289="","",H289*$E$4)</f>
        <v/>
      </c>
      <c r="S289" s="46" t="str">
        <f aca="false">IF(OR(F289="",H289="",Q289=""),"",H289-F289-Q289-R289)</f>
        <v/>
      </c>
      <c r="T289" s="24" t="str">
        <f aca="false">IF(OR(S289="",H289="",H289=0),"",S289/H289)</f>
        <v/>
      </c>
    </row>
    <row r="290" customFormat="false" ht="15" hidden="false" customHeight="false" outlineLevel="0" collapsed="false">
      <c r="A290" s="30"/>
      <c r="B290" s="30"/>
      <c r="C290" s="30"/>
      <c r="D290" s="27"/>
      <c r="E290" s="43"/>
      <c r="F290" s="41"/>
      <c r="G290" s="43"/>
      <c r="H290" s="41"/>
      <c r="I290" s="41"/>
      <c r="J290" s="30"/>
      <c r="K290" s="30"/>
      <c r="L290" s="30"/>
      <c r="M290" s="39" t="str">
        <f aca="false">IF(OR(E290="",G290=""),"",(G290-E290)/30.44)</f>
        <v/>
      </c>
      <c r="N290" s="46" t="str">
        <f aca="false">IF(OR(F290="",H290=""),"",H290-F290)</f>
        <v/>
      </c>
      <c r="O290" s="46" t="str">
        <f aca="false">IF(OR(F290="",D290="",D290=0),"",F290/D290)</f>
        <v/>
      </c>
      <c r="P290" s="46" t="str">
        <f aca="false">IF(OR(H290="",D290="",D290=0),"",H290/D290)</f>
        <v/>
      </c>
      <c r="Q290" s="46" t="str">
        <f aca="false">IF(H290="","",IF(I290&lt;&gt;"",I290,IF(D290="","",D290*$E$3)))</f>
        <v/>
      </c>
      <c r="R290" s="46" t="str">
        <f aca="false">IF(H290="","",H290*$E$4)</f>
        <v/>
      </c>
      <c r="S290" s="46" t="str">
        <f aca="false">IF(OR(F290="",H290="",Q290=""),"",H290-F290-Q290-R290)</f>
        <v/>
      </c>
      <c r="T290" s="24" t="str">
        <f aca="false">IF(OR(S290="",H290="",H290=0),"",S290/H290)</f>
        <v/>
      </c>
    </row>
    <row r="291" customFormat="false" ht="15" hidden="false" customHeight="false" outlineLevel="0" collapsed="false">
      <c r="A291" s="30"/>
      <c r="B291" s="30"/>
      <c r="C291" s="30"/>
      <c r="D291" s="27"/>
      <c r="E291" s="43"/>
      <c r="F291" s="41"/>
      <c r="G291" s="43"/>
      <c r="H291" s="41"/>
      <c r="I291" s="41"/>
      <c r="J291" s="30"/>
      <c r="K291" s="30"/>
      <c r="L291" s="30"/>
      <c r="M291" s="39" t="str">
        <f aca="false">IF(OR(E291="",G291=""),"",(G291-E291)/30.44)</f>
        <v/>
      </c>
      <c r="N291" s="46" t="str">
        <f aca="false">IF(OR(F291="",H291=""),"",H291-F291)</f>
        <v/>
      </c>
      <c r="O291" s="46" t="str">
        <f aca="false">IF(OR(F291="",D291="",D291=0),"",F291/D291)</f>
        <v/>
      </c>
      <c r="P291" s="46" t="str">
        <f aca="false">IF(OR(H291="",D291="",D291=0),"",H291/D291)</f>
        <v/>
      </c>
      <c r="Q291" s="46" t="str">
        <f aca="false">IF(H291="","",IF(I291&lt;&gt;"",I291,IF(D291="","",D291*$E$3)))</f>
        <v/>
      </c>
      <c r="R291" s="46" t="str">
        <f aca="false">IF(H291="","",H291*$E$4)</f>
        <v/>
      </c>
      <c r="S291" s="46" t="str">
        <f aca="false">IF(OR(F291="",H291="",Q291=""),"",H291-F291-Q291-R291)</f>
        <v/>
      </c>
      <c r="T291" s="24" t="str">
        <f aca="false">IF(OR(S291="",H291="",H291=0),"",S291/H291)</f>
        <v/>
      </c>
    </row>
    <row r="292" customFormat="false" ht="15" hidden="false" customHeight="false" outlineLevel="0" collapsed="false">
      <c r="A292" s="30"/>
      <c r="B292" s="30"/>
      <c r="C292" s="30"/>
      <c r="D292" s="27"/>
      <c r="E292" s="43"/>
      <c r="F292" s="41"/>
      <c r="G292" s="43"/>
      <c r="H292" s="41"/>
      <c r="I292" s="41"/>
      <c r="J292" s="30"/>
      <c r="K292" s="30"/>
      <c r="L292" s="30"/>
      <c r="M292" s="39" t="str">
        <f aca="false">IF(OR(E292="",G292=""),"",(G292-E292)/30.44)</f>
        <v/>
      </c>
      <c r="N292" s="46" t="str">
        <f aca="false">IF(OR(F292="",H292=""),"",H292-F292)</f>
        <v/>
      </c>
      <c r="O292" s="46" t="str">
        <f aca="false">IF(OR(F292="",D292="",D292=0),"",F292/D292)</f>
        <v/>
      </c>
      <c r="P292" s="46" t="str">
        <f aca="false">IF(OR(H292="",D292="",D292=0),"",H292/D292)</f>
        <v/>
      </c>
      <c r="Q292" s="46" t="str">
        <f aca="false">IF(H292="","",IF(I292&lt;&gt;"",I292,IF(D292="","",D292*$E$3)))</f>
        <v/>
      </c>
      <c r="R292" s="46" t="str">
        <f aca="false">IF(H292="","",H292*$E$4)</f>
        <v/>
      </c>
      <c r="S292" s="46" t="str">
        <f aca="false">IF(OR(F292="",H292="",Q292=""),"",H292-F292-Q292-R292)</f>
        <v/>
      </c>
      <c r="T292" s="24" t="str">
        <f aca="false">IF(OR(S292="",H292="",H292=0),"",S292/H292)</f>
        <v/>
      </c>
    </row>
    <row r="293" customFormat="false" ht="15" hidden="false" customHeight="false" outlineLevel="0" collapsed="false">
      <c r="A293" s="30"/>
      <c r="B293" s="30"/>
      <c r="C293" s="30"/>
      <c r="D293" s="27"/>
      <c r="E293" s="43"/>
      <c r="F293" s="41"/>
      <c r="G293" s="43"/>
      <c r="H293" s="41"/>
      <c r="I293" s="41"/>
      <c r="J293" s="30"/>
      <c r="K293" s="30"/>
      <c r="L293" s="30"/>
      <c r="M293" s="39" t="str">
        <f aca="false">IF(OR(E293="",G293=""),"",(G293-E293)/30.44)</f>
        <v/>
      </c>
      <c r="N293" s="46" t="str">
        <f aca="false">IF(OR(F293="",H293=""),"",H293-F293)</f>
        <v/>
      </c>
      <c r="O293" s="46" t="str">
        <f aca="false">IF(OR(F293="",D293="",D293=0),"",F293/D293)</f>
        <v/>
      </c>
      <c r="P293" s="46" t="str">
        <f aca="false">IF(OR(H293="",D293="",D293=0),"",H293/D293)</f>
        <v/>
      </c>
      <c r="Q293" s="46" t="str">
        <f aca="false">IF(H293="","",IF(I293&lt;&gt;"",I293,IF(D293="","",D293*$E$3)))</f>
        <v/>
      </c>
      <c r="R293" s="46" t="str">
        <f aca="false">IF(H293="","",H293*$E$4)</f>
        <v/>
      </c>
      <c r="S293" s="46" t="str">
        <f aca="false">IF(OR(F293="",H293="",Q293=""),"",H293-F293-Q293-R293)</f>
        <v/>
      </c>
      <c r="T293" s="24" t="str">
        <f aca="false">IF(OR(S293="",H293="",H293=0),"",S293/H293)</f>
        <v/>
      </c>
    </row>
    <row r="294" customFormat="false" ht="15" hidden="false" customHeight="false" outlineLevel="0" collapsed="false">
      <c r="A294" s="30"/>
      <c r="B294" s="30"/>
      <c r="C294" s="30"/>
      <c r="D294" s="27"/>
      <c r="E294" s="43"/>
      <c r="F294" s="41"/>
      <c r="G294" s="43"/>
      <c r="H294" s="41"/>
      <c r="I294" s="41"/>
      <c r="J294" s="30"/>
      <c r="K294" s="30"/>
      <c r="L294" s="30"/>
      <c r="M294" s="39" t="str">
        <f aca="false">IF(OR(E294="",G294=""),"",(G294-E294)/30.44)</f>
        <v/>
      </c>
      <c r="N294" s="46" t="str">
        <f aca="false">IF(OR(F294="",H294=""),"",H294-F294)</f>
        <v/>
      </c>
      <c r="O294" s="46" t="str">
        <f aca="false">IF(OR(F294="",D294="",D294=0),"",F294/D294)</f>
        <v/>
      </c>
      <c r="P294" s="46" t="str">
        <f aca="false">IF(OR(H294="",D294="",D294=0),"",H294/D294)</f>
        <v/>
      </c>
      <c r="Q294" s="46" t="str">
        <f aca="false">IF(H294="","",IF(I294&lt;&gt;"",I294,IF(D294="","",D294*$E$3)))</f>
        <v/>
      </c>
      <c r="R294" s="46" t="str">
        <f aca="false">IF(H294="","",H294*$E$4)</f>
        <v/>
      </c>
      <c r="S294" s="46" t="str">
        <f aca="false">IF(OR(F294="",H294="",Q294=""),"",H294-F294-Q294-R294)</f>
        <v/>
      </c>
      <c r="T294" s="24" t="str">
        <f aca="false">IF(OR(S294="",H294="",H294=0),"",S294/H294)</f>
        <v/>
      </c>
    </row>
    <row r="295" customFormat="false" ht="15" hidden="false" customHeight="false" outlineLevel="0" collapsed="false">
      <c r="A295" s="30"/>
      <c r="B295" s="30"/>
      <c r="C295" s="30"/>
      <c r="D295" s="27"/>
      <c r="E295" s="43"/>
      <c r="F295" s="41"/>
      <c r="G295" s="43"/>
      <c r="H295" s="41"/>
      <c r="I295" s="41"/>
      <c r="J295" s="30"/>
      <c r="K295" s="30"/>
      <c r="L295" s="30"/>
      <c r="M295" s="39" t="str">
        <f aca="false">IF(OR(E295="",G295=""),"",(G295-E295)/30.44)</f>
        <v/>
      </c>
      <c r="N295" s="46" t="str">
        <f aca="false">IF(OR(F295="",H295=""),"",H295-F295)</f>
        <v/>
      </c>
      <c r="O295" s="46" t="str">
        <f aca="false">IF(OR(F295="",D295="",D295=0),"",F295/D295)</f>
        <v/>
      </c>
      <c r="P295" s="46" t="str">
        <f aca="false">IF(OR(H295="",D295="",D295=0),"",H295/D295)</f>
        <v/>
      </c>
      <c r="Q295" s="46" t="str">
        <f aca="false">IF(H295="","",IF(I295&lt;&gt;"",I295,IF(D295="","",D295*$E$3)))</f>
        <v/>
      </c>
      <c r="R295" s="46" t="str">
        <f aca="false">IF(H295="","",H295*$E$4)</f>
        <v/>
      </c>
      <c r="S295" s="46" t="str">
        <f aca="false">IF(OR(F295="",H295="",Q295=""),"",H295-F295-Q295-R295)</f>
        <v/>
      </c>
      <c r="T295" s="24" t="str">
        <f aca="false">IF(OR(S295="",H295="",H295=0),"",S295/H295)</f>
        <v/>
      </c>
    </row>
    <row r="296" customFormat="false" ht="15" hidden="false" customHeight="false" outlineLevel="0" collapsed="false">
      <c r="A296" s="30"/>
      <c r="B296" s="30"/>
      <c r="C296" s="30"/>
      <c r="D296" s="27"/>
      <c r="E296" s="43"/>
      <c r="F296" s="41"/>
      <c r="G296" s="43"/>
      <c r="H296" s="41"/>
      <c r="I296" s="41"/>
      <c r="J296" s="30"/>
      <c r="K296" s="30"/>
      <c r="L296" s="30"/>
      <c r="M296" s="39" t="str">
        <f aca="false">IF(OR(E296="",G296=""),"",(G296-E296)/30.44)</f>
        <v/>
      </c>
      <c r="N296" s="46" t="str">
        <f aca="false">IF(OR(F296="",H296=""),"",H296-F296)</f>
        <v/>
      </c>
      <c r="O296" s="46" t="str">
        <f aca="false">IF(OR(F296="",D296="",D296=0),"",F296/D296)</f>
        <v/>
      </c>
      <c r="P296" s="46" t="str">
        <f aca="false">IF(OR(H296="",D296="",D296=0),"",H296/D296)</f>
        <v/>
      </c>
      <c r="Q296" s="46" t="str">
        <f aca="false">IF(H296="","",IF(I296&lt;&gt;"",I296,IF(D296="","",D296*$E$3)))</f>
        <v/>
      </c>
      <c r="R296" s="46" t="str">
        <f aca="false">IF(H296="","",H296*$E$4)</f>
        <v/>
      </c>
      <c r="S296" s="46" t="str">
        <f aca="false">IF(OR(F296="",H296="",Q296=""),"",H296-F296-Q296-R296)</f>
        <v/>
      </c>
      <c r="T296" s="24" t="str">
        <f aca="false">IF(OR(S296="",H296="",H296=0),"",S296/H296)</f>
        <v/>
      </c>
    </row>
    <row r="297" customFormat="false" ht="15" hidden="false" customHeight="false" outlineLevel="0" collapsed="false">
      <c r="A297" s="30"/>
      <c r="B297" s="30"/>
      <c r="C297" s="30"/>
      <c r="D297" s="27"/>
      <c r="E297" s="43"/>
      <c r="F297" s="41"/>
      <c r="G297" s="43"/>
      <c r="H297" s="41"/>
      <c r="I297" s="41"/>
      <c r="J297" s="30"/>
      <c r="K297" s="30"/>
      <c r="L297" s="30"/>
      <c r="M297" s="39" t="str">
        <f aca="false">IF(OR(E297="",G297=""),"",(G297-E297)/30.44)</f>
        <v/>
      </c>
      <c r="N297" s="46" t="str">
        <f aca="false">IF(OR(F297="",H297=""),"",H297-F297)</f>
        <v/>
      </c>
      <c r="O297" s="46" t="str">
        <f aca="false">IF(OR(F297="",D297="",D297=0),"",F297/D297)</f>
        <v/>
      </c>
      <c r="P297" s="46" t="str">
        <f aca="false">IF(OR(H297="",D297="",D297=0),"",H297/D297)</f>
        <v/>
      </c>
      <c r="Q297" s="46" t="str">
        <f aca="false">IF(H297="","",IF(I297&lt;&gt;"",I297,IF(D297="","",D297*$E$3)))</f>
        <v/>
      </c>
      <c r="R297" s="46" t="str">
        <f aca="false">IF(H297="","",H297*$E$4)</f>
        <v/>
      </c>
      <c r="S297" s="46" t="str">
        <f aca="false">IF(OR(F297="",H297="",Q297=""),"",H297-F297-Q297-R297)</f>
        <v/>
      </c>
      <c r="T297" s="24" t="str">
        <f aca="false">IF(OR(S297="",H297="",H297=0),"",S297/H297)</f>
        <v/>
      </c>
    </row>
    <row r="298" customFormat="false" ht="15" hidden="false" customHeight="false" outlineLevel="0" collapsed="false">
      <c r="A298" s="30"/>
      <c r="B298" s="30"/>
      <c r="C298" s="30"/>
      <c r="D298" s="27"/>
      <c r="E298" s="43"/>
      <c r="F298" s="41"/>
      <c r="G298" s="43"/>
      <c r="H298" s="41"/>
      <c r="I298" s="41"/>
      <c r="J298" s="30"/>
      <c r="K298" s="30"/>
      <c r="L298" s="30"/>
      <c r="M298" s="39" t="str">
        <f aca="false">IF(OR(E298="",G298=""),"",(G298-E298)/30.44)</f>
        <v/>
      </c>
      <c r="N298" s="46" t="str">
        <f aca="false">IF(OR(F298="",H298=""),"",H298-F298)</f>
        <v/>
      </c>
      <c r="O298" s="46" t="str">
        <f aca="false">IF(OR(F298="",D298="",D298=0),"",F298/D298)</f>
        <v/>
      </c>
      <c r="P298" s="46" t="str">
        <f aca="false">IF(OR(H298="",D298="",D298=0),"",H298/D298)</f>
        <v/>
      </c>
      <c r="Q298" s="46" t="str">
        <f aca="false">IF(H298="","",IF(I298&lt;&gt;"",I298,IF(D298="","",D298*$E$3)))</f>
        <v/>
      </c>
      <c r="R298" s="46" t="str">
        <f aca="false">IF(H298="","",H298*$E$4)</f>
        <v/>
      </c>
      <c r="S298" s="46" t="str">
        <f aca="false">IF(OR(F298="",H298="",Q298=""),"",H298-F298-Q298-R298)</f>
        <v/>
      </c>
      <c r="T298" s="24" t="str">
        <f aca="false">IF(OR(S298="",H298="",H298=0),"",S298/H298)</f>
        <v/>
      </c>
    </row>
    <row r="299" customFormat="false" ht="15" hidden="false" customHeight="false" outlineLevel="0" collapsed="false">
      <c r="A299" s="30"/>
      <c r="B299" s="30"/>
      <c r="C299" s="30"/>
      <c r="D299" s="27"/>
      <c r="E299" s="43"/>
      <c r="F299" s="41"/>
      <c r="G299" s="43"/>
      <c r="H299" s="41"/>
      <c r="I299" s="41"/>
      <c r="J299" s="30"/>
      <c r="K299" s="30"/>
      <c r="L299" s="30"/>
      <c r="M299" s="39" t="str">
        <f aca="false">IF(OR(E299="",G299=""),"",(G299-E299)/30.44)</f>
        <v/>
      </c>
      <c r="N299" s="46" t="str">
        <f aca="false">IF(OR(F299="",H299=""),"",H299-F299)</f>
        <v/>
      </c>
      <c r="O299" s="46" t="str">
        <f aca="false">IF(OR(F299="",D299="",D299=0),"",F299/D299)</f>
        <v/>
      </c>
      <c r="P299" s="46" t="str">
        <f aca="false">IF(OR(H299="",D299="",D299=0),"",H299/D299)</f>
        <v/>
      </c>
      <c r="Q299" s="46" t="str">
        <f aca="false">IF(H299="","",IF(I299&lt;&gt;"",I299,IF(D299="","",D299*$E$3)))</f>
        <v/>
      </c>
      <c r="R299" s="46" t="str">
        <f aca="false">IF(H299="","",H299*$E$4)</f>
        <v/>
      </c>
      <c r="S299" s="46" t="str">
        <f aca="false">IF(OR(F299="",H299="",Q299=""),"",H299-F299-Q299-R299)</f>
        <v/>
      </c>
      <c r="T299" s="24" t="str">
        <f aca="false">IF(OR(S299="",H299="",H299=0),"",S299/H299)</f>
        <v/>
      </c>
    </row>
    <row r="300" customFormat="false" ht="15" hidden="false" customHeight="false" outlineLevel="0" collapsed="false">
      <c r="A300" s="30"/>
      <c r="B300" s="30"/>
      <c r="C300" s="30"/>
      <c r="D300" s="27"/>
      <c r="E300" s="43"/>
      <c r="F300" s="41"/>
      <c r="G300" s="43"/>
      <c r="H300" s="41"/>
      <c r="I300" s="41"/>
      <c r="J300" s="30"/>
      <c r="K300" s="30"/>
      <c r="L300" s="30"/>
      <c r="M300" s="39" t="str">
        <f aca="false">IF(OR(E300="",G300=""),"",(G300-E300)/30.44)</f>
        <v/>
      </c>
      <c r="N300" s="46" t="str">
        <f aca="false">IF(OR(F300="",H300=""),"",H300-F300)</f>
        <v/>
      </c>
      <c r="O300" s="46" t="str">
        <f aca="false">IF(OR(F300="",D300="",D300=0),"",F300/D300)</f>
        <v/>
      </c>
      <c r="P300" s="46" t="str">
        <f aca="false">IF(OR(H300="",D300="",D300=0),"",H300/D300)</f>
        <v/>
      </c>
      <c r="Q300" s="46" t="str">
        <f aca="false">IF(H300="","",IF(I300&lt;&gt;"",I300,IF(D300="","",D300*$E$3)))</f>
        <v/>
      </c>
      <c r="R300" s="46" t="str">
        <f aca="false">IF(H300="","",H300*$E$4)</f>
        <v/>
      </c>
      <c r="S300" s="46" t="str">
        <f aca="false">IF(OR(F300="",H300="",Q300=""),"",H300-F300-Q300-R300)</f>
        <v/>
      </c>
      <c r="T300" s="24" t="str">
        <f aca="false">IF(OR(S300="",H300="",H300=0),"",S300/H300)</f>
        <v/>
      </c>
    </row>
    <row r="301" customFormat="false" ht="15" hidden="false" customHeight="false" outlineLevel="0" collapsed="false">
      <c r="A301" s="30"/>
      <c r="B301" s="30"/>
      <c r="C301" s="30"/>
      <c r="D301" s="27"/>
      <c r="E301" s="43"/>
      <c r="F301" s="41"/>
      <c r="G301" s="43"/>
      <c r="H301" s="41"/>
      <c r="I301" s="41"/>
      <c r="J301" s="30"/>
      <c r="K301" s="30"/>
      <c r="L301" s="30"/>
      <c r="M301" s="39" t="str">
        <f aca="false">IF(OR(E301="",G301=""),"",(G301-E301)/30.44)</f>
        <v/>
      </c>
      <c r="N301" s="46" t="str">
        <f aca="false">IF(OR(F301="",H301=""),"",H301-F301)</f>
        <v/>
      </c>
      <c r="O301" s="46" t="str">
        <f aca="false">IF(OR(F301="",D301="",D301=0),"",F301/D301)</f>
        <v/>
      </c>
      <c r="P301" s="46" t="str">
        <f aca="false">IF(OR(H301="",D301="",D301=0),"",H301/D301)</f>
        <v/>
      </c>
      <c r="Q301" s="46" t="str">
        <f aca="false">IF(H301="","",IF(I301&lt;&gt;"",I301,IF(D301="","",D301*$E$3)))</f>
        <v/>
      </c>
      <c r="R301" s="46" t="str">
        <f aca="false">IF(H301="","",H301*$E$4)</f>
        <v/>
      </c>
      <c r="S301" s="46" t="str">
        <f aca="false">IF(OR(F301="",H301="",Q301=""),"",H301-F301-Q301-R301)</f>
        <v/>
      </c>
      <c r="T301" s="24" t="str">
        <f aca="false">IF(OR(S301="",H301="",H301=0),"",S301/H301)</f>
        <v/>
      </c>
    </row>
    <row r="302" customFormat="false" ht="15" hidden="false" customHeight="false" outlineLevel="0" collapsed="false">
      <c r="A302" s="30"/>
      <c r="B302" s="30"/>
      <c r="C302" s="30"/>
      <c r="D302" s="27"/>
      <c r="E302" s="43"/>
      <c r="F302" s="41"/>
      <c r="G302" s="43"/>
      <c r="H302" s="41"/>
      <c r="I302" s="41"/>
      <c r="J302" s="30"/>
      <c r="K302" s="30"/>
      <c r="L302" s="30"/>
      <c r="M302" s="39" t="str">
        <f aca="false">IF(OR(E302="",G302=""),"",(G302-E302)/30.44)</f>
        <v/>
      </c>
      <c r="N302" s="46" t="str">
        <f aca="false">IF(OR(F302="",H302=""),"",H302-F302)</f>
        <v/>
      </c>
      <c r="O302" s="46" t="str">
        <f aca="false">IF(OR(F302="",D302="",D302=0),"",F302/D302)</f>
        <v/>
      </c>
      <c r="P302" s="46" t="str">
        <f aca="false">IF(OR(H302="",D302="",D302=0),"",H302/D302)</f>
        <v/>
      </c>
      <c r="Q302" s="46" t="str">
        <f aca="false">IF(H302="","",IF(I302&lt;&gt;"",I302,IF(D302="","",D302*$E$3)))</f>
        <v/>
      </c>
      <c r="R302" s="46" t="str">
        <f aca="false">IF(H302="","",H302*$E$4)</f>
        <v/>
      </c>
      <c r="S302" s="46" t="str">
        <f aca="false">IF(OR(F302="",H302="",Q302=""),"",H302-F302-Q302-R302)</f>
        <v/>
      </c>
      <c r="T302" s="24" t="str">
        <f aca="false">IF(OR(S302="",H302="",H302=0),"",S302/H302)</f>
        <v/>
      </c>
    </row>
    <row r="303" customFormat="false" ht="15" hidden="false" customHeight="false" outlineLevel="0" collapsed="false">
      <c r="A303" s="30"/>
      <c r="B303" s="30"/>
      <c r="C303" s="30"/>
      <c r="D303" s="27"/>
      <c r="E303" s="43"/>
      <c r="F303" s="41"/>
      <c r="G303" s="43"/>
      <c r="H303" s="41"/>
      <c r="I303" s="41"/>
      <c r="J303" s="30"/>
      <c r="K303" s="30"/>
      <c r="L303" s="30"/>
      <c r="M303" s="39" t="str">
        <f aca="false">IF(OR(E303="",G303=""),"",(G303-E303)/30.44)</f>
        <v/>
      </c>
      <c r="N303" s="46" t="str">
        <f aca="false">IF(OR(F303="",H303=""),"",H303-F303)</f>
        <v/>
      </c>
      <c r="O303" s="46" t="str">
        <f aca="false">IF(OR(F303="",D303="",D303=0),"",F303/D303)</f>
        <v/>
      </c>
      <c r="P303" s="46" t="str">
        <f aca="false">IF(OR(H303="",D303="",D303=0),"",H303/D303)</f>
        <v/>
      </c>
      <c r="Q303" s="46" t="str">
        <f aca="false">IF(H303="","",IF(I303&lt;&gt;"",I303,IF(D303="","",D303*$E$3)))</f>
        <v/>
      </c>
      <c r="R303" s="46" t="str">
        <f aca="false">IF(H303="","",H303*$E$4)</f>
        <v/>
      </c>
      <c r="S303" s="46" t="str">
        <f aca="false">IF(OR(F303="",H303="",Q303=""),"",H303-F303-Q303-R303)</f>
        <v/>
      </c>
      <c r="T303" s="24" t="str">
        <f aca="false">IF(OR(S303="",H303="",H303=0),"",S303/H303)</f>
        <v/>
      </c>
    </row>
    <row r="304" customFormat="false" ht="15" hidden="false" customHeight="false" outlineLevel="0" collapsed="false">
      <c r="A304" s="30"/>
      <c r="B304" s="30"/>
      <c r="C304" s="30"/>
      <c r="D304" s="27"/>
      <c r="E304" s="43"/>
      <c r="F304" s="41"/>
      <c r="G304" s="43"/>
      <c r="H304" s="41"/>
      <c r="I304" s="41"/>
      <c r="J304" s="30"/>
      <c r="K304" s="30"/>
      <c r="L304" s="30"/>
      <c r="M304" s="39" t="str">
        <f aca="false">IF(OR(E304="",G304=""),"",(G304-E304)/30.44)</f>
        <v/>
      </c>
      <c r="N304" s="46" t="str">
        <f aca="false">IF(OR(F304="",H304=""),"",H304-F304)</f>
        <v/>
      </c>
      <c r="O304" s="46" t="str">
        <f aca="false">IF(OR(F304="",D304="",D304=0),"",F304/D304)</f>
        <v/>
      </c>
      <c r="P304" s="46" t="str">
        <f aca="false">IF(OR(H304="",D304="",D304=0),"",H304/D304)</f>
        <v/>
      </c>
      <c r="Q304" s="46" t="str">
        <f aca="false">IF(H304="","",IF(I304&lt;&gt;"",I304,IF(D304="","",D304*$E$3)))</f>
        <v/>
      </c>
      <c r="R304" s="46" t="str">
        <f aca="false">IF(H304="","",H304*$E$4)</f>
        <v/>
      </c>
      <c r="S304" s="46" t="str">
        <f aca="false">IF(OR(F304="",H304="",Q304=""),"",H304-F304-Q304-R304)</f>
        <v/>
      </c>
      <c r="T304" s="24" t="str">
        <f aca="false">IF(OR(S304="",H304="",H304=0),"",S304/H304)</f>
        <v/>
      </c>
    </row>
    <row r="305" customFormat="false" ht="15" hidden="false" customHeight="false" outlineLevel="0" collapsed="false">
      <c r="A305" s="30"/>
      <c r="B305" s="30"/>
      <c r="C305" s="30"/>
      <c r="D305" s="27"/>
      <c r="E305" s="43"/>
      <c r="F305" s="41"/>
      <c r="G305" s="43"/>
      <c r="H305" s="41"/>
      <c r="I305" s="41"/>
      <c r="J305" s="30"/>
      <c r="K305" s="30"/>
      <c r="L305" s="30"/>
      <c r="M305" s="39" t="str">
        <f aca="false">IF(OR(E305="",G305=""),"",(G305-E305)/30.44)</f>
        <v/>
      </c>
      <c r="N305" s="46" t="str">
        <f aca="false">IF(OR(F305="",H305=""),"",H305-F305)</f>
        <v/>
      </c>
      <c r="O305" s="46" t="str">
        <f aca="false">IF(OR(F305="",D305="",D305=0),"",F305/D305)</f>
        <v/>
      </c>
      <c r="P305" s="46" t="str">
        <f aca="false">IF(OR(H305="",D305="",D305=0),"",H305/D305)</f>
        <v/>
      </c>
      <c r="Q305" s="46" t="str">
        <f aca="false">IF(H305="","",IF(I305&lt;&gt;"",I305,IF(D305="","",D305*$E$3)))</f>
        <v/>
      </c>
      <c r="R305" s="46" t="str">
        <f aca="false">IF(H305="","",H305*$E$4)</f>
        <v/>
      </c>
      <c r="S305" s="46" t="str">
        <f aca="false">IF(OR(F305="",H305="",Q305=""),"",H305-F305-Q305-R305)</f>
        <v/>
      </c>
      <c r="T305" s="24" t="str">
        <f aca="false">IF(OR(S305="",H305="",H305=0),"",S305/H305)</f>
        <v/>
      </c>
    </row>
    <row r="306" customFormat="false" ht="15" hidden="false" customHeight="false" outlineLevel="0" collapsed="false">
      <c r="A306" s="30"/>
      <c r="B306" s="30"/>
      <c r="C306" s="30"/>
      <c r="D306" s="27"/>
      <c r="E306" s="43"/>
      <c r="F306" s="41"/>
      <c r="G306" s="43"/>
      <c r="H306" s="41"/>
      <c r="I306" s="41"/>
      <c r="J306" s="30"/>
      <c r="K306" s="30"/>
      <c r="L306" s="30"/>
      <c r="M306" s="39" t="str">
        <f aca="false">IF(OR(E306="",G306=""),"",(G306-E306)/30.44)</f>
        <v/>
      </c>
      <c r="N306" s="46" t="str">
        <f aca="false">IF(OR(F306="",H306=""),"",H306-F306)</f>
        <v/>
      </c>
      <c r="O306" s="46" t="str">
        <f aca="false">IF(OR(F306="",D306="",D306=0),"",F306/D306)</f>
        <v/>
      </c>
      <c r="P306" s="46" t="str">
        <f aca="false">IF(OR(H306="",D306="",D306=0),"",H306/D306)</f>
        <v/>
      </c>
      <c r="Q306" s="46" t="str">
        <f aca="false">IF(H306="","",IF(I306&lt;&gt;"",I306,IF(D306="","",D306*$E$3)))</f>
        <v/>
      </c>
      <c r="R306" s="46" t="str">
        <f aca="false">IF(H306="","",H306*$E$4)</f>
        <v/>
      </c>
      <c r="S306" s="46" t="str">
        <f aca="false">IF(OR(F306="",H306="",Q306=""),"",H306-F306-Q306-R306)</f>
        <v/>
      </c>
      <c r="T306" s="24" t="str">
        <f aca="false">IF(OR(S306="",H306="",H306=0),"",S306/H306)</f>
        <v/>
      </c>
    </row>
    <row r="307" customFormat="false" ht="15" hidden="false" customHeight="false" outlineLevel="0" collapsed="false">
      <c r="A307" s="30"/>
      <c r="B307" s="30"/>
      <c r="C307" s="30"/>
      <c r="D307" s="27"/>
      <c r="E307" s="43"/>
      <c r="F307" s="41"/>
      <c r="G307" s="43"/>
      <c r="H307" s="41"/>
      <c r="I307" s="41"/>
      <c r="J307" s="30"/>
      <c r="K307" s="30"/>
      <c r="L307" s="30"/>
      <c r="M307" s="39" t="str">
        <f aca="false">IF(OR(E307="",G307=""),"",(G307-E307)/30.44)</f>
        <v/>
      </c>
      <c r="N307" s="46" t="str">
        <f aca="false">IF(OR(F307="",H307=""),"",H307-F307)</f>
        <v/>
      </c>
      <c r="O307" s="46" t="str">
        <f aca="false">IF(OR(F307="",D307="",D307=0),"",F307/D307)</f>
        <v/>
      </c>
      <c r="P307" s="46" t="str">
        <f aca="false">IF(OR(H307="",D307="",D307=0),"",H307/D307)</f>
        <v/>
      </c>
      <c r="Q307" s="46" t="str">
        <f aca="false">IF(H307="","",IF(I307&lt;&gt;"",I307,IF(D307="","",D307*$E$3)))</f>
        <v/>
      </c>
      <c r="R307" s="46" t="str">
        <f aca="false">IF(H307="","",H307*$E$4)</f>
        <v/>
      </c>
      <c r="S307" s="46" t="str">
        <f aca="false">IF(OR(F307="",H307="",Q307=""),"",H307-F307-Q307-R307)</f>
        <v/>
      </c>
      <c r="T307" s="24" t="str">
        <f aca="false">IF(OR(S307="",H307="",H307=0),"",S307/H307)</f>
        <v/>
      </c>
    </row>
  </sheetData>
  <mergeCells count="3">
    <mergeCell ref="A6:D6"/>
    <mergeCell ref="E6:L6"/>
    <mergeCell ref="M6:T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5" t="s">
        <v>91</v>
      </c>
    </row>
    <row r="2" customFormat="false" ht="15" hidden="false" customHeight="false" outlineLevel="0" collapsed="false">
      <c r="A2" s="2" t="s">
        <v>234</v>
      </c>
    </row>
    <row r="7" customFormat="false" ht="42" hidden="false" customHeight="true" outlineLevel="0" collapsed="false">
      <c r="A7" s="19" t="s">
        <v>128</v>
      </c>
      <c r="B7" s="19" t="s">
        <v>235</v>
      </c>
      <c r="C7" s="19" t="s">
        <v>236</v>
      </c>
      <c r="D7" s="19" t="s">
        <v>237</v>
      </c>
      <c r="E7" s="19" t="s">
        <v>238</v>
      </c>
      <c r="F7" s="19" t="s">
        <v>189</v>
      </c>
    </row>
    <row r="8" customFormat="false" ht="15" hidden="false" customHeight="false" outlineLevel="0" collapsed="false">
      <c r="A8" s="20" t="s">
        <v>126</v>
      </c>
      <c r="B8" s="20" t="s">
        <v>239</v>
      </c>
      <c r="C8" s="20" t="s">
        <v>240</v>
      </c>
      <c r="D8" s="20" t="s">
        <v>241</v>
      </c>
      <c r="E8" s="20" t="s">
        <v>242</v>
      </c>
      <c r="F8" s="20" t="s">
        <v>170</v>
      </c>
    </row>
    <row r="9" customFormat="false" ht="15" hidden="false" customHeight="false" outlineLevel="0" collapsed="false">
      <c r="A9" s="30"/>
      <c r="B9" s="30"/>
      <c r="C9" s="30"/>
      <c r="D9" s="30"/>
      <c r="E9" s="30"/>
      <c r="F9" s="30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</row>
    <row r="11" customFormat="false" ht="15" hidden="false" customHeight="false" outlineLevel="0" collapsed="false">
      <c r="A11" s="30"/>
      <c r="B11" s="30"/>
      <c r="C11" s="30"/>
      <c r="D11" s="30"/>
      <c r="E11" s="30"/>
      <c r="F11" s="30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</row>
    <row r="13" customFormat="false" ht="15" hidden="false" customHeight="false" outlineLevel="0" collapsed="false">
      <c r="A13" s="30"/>
      <c r="B13" s="30"/>
      <c r="C13" s="30"/>
      <c r="D13" s="30"/>
      <c r="E13" s="30"/>
      <c r="F13" s="30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</row>
    <row r="15" customFormat="false" ht="15" hidden="false" customHeight="false" outlineLevel="0" collapsed="false">
      <c r="A15" s="30"/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</row>
    <row r="17" customFormat="false" ht="15" hidden="false" customHeight="false" outlineLevel="0" collapsed="false">
      <c r="A17" s="30"/>
      <c r="B17" s="30"/>
      <c r="C17" s="30"/>
      <c r="D17" s="30"/>
      <c r="E17" s="30"/>
      <c r="F17" s="30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</row>
    <row r="19" customFormat="false" ht="15" hidden="false" customHeight="false" outlineLevel="0" collapsed="false">
      <c r="A19" s="30"/>
      <c r="B19" s="30"/>
      <c r="C19" s="30"/>
      <c r="D19" s="30"/>
      <c r="E19" s="30"/>
      <c r="F19" s="30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</row>
    <row r="21" customFormat="false" ht="15" hidden="false" customHeight="false" outlineLevel="0" collapsed="false">
      <c r="A21" s="30"/>
      <c r="B21" s="30"/>
      <c r="C21" s="30"/>
      <c r="D21" s="30"/>
      <c r="E21" s="30"/>
      <c r="F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</row>
    <row r="25" customFormat="false" ht="15" hidden="false" customHeight="false" outlineLevel="0" collapsed="false">
      <c r="A25" s="30"/>
      <c r="B25" s="30"/>
      <c r="C25" s="30"/>
      <c r="D25" s="30"/>
      <c r="E25" s="30"/>
      <c r="F25" s="30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</row>
    <row r="27" customFormat="false" ht="15" hidden="false" customHeight="false" outlineLevel="0" collapsed="false">
      <c r="A27" s="30"/>
      <c r="B27" s="30"/>
      <c r="C27" s="30"/>
      <c r="D27" s="30"/>
      <c r="E27" s="30"/>
      <c r="F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</row>
    <row r="29" customFormat="false" ht="15" hidden="false" customHeight="false" outlineLevel="0" collapsed="false">
      <c r="A29" s="30"/>
      <c r="B29" s="30"/>
      <c r="C29" s="30"/>
      <c r="D29" s="30"/>
      <c r="E29" s="30"/>
      <c r="F29" s="30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</row>
    <row r="31" customFormat="false" ht="15" hidden="false" customHeight="false" outlineLevel="0" collapsed="false">
      <c r="A31" s="30"/>
      <c r="B31" s="30"/>
      <c r="C31" s="30"/>
      <c r="D31" s="30"/>
      <c r="E31" s="30"/>
      <c r="F31" s="30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</row>
    <row r="33" customFormat="false" ht="15" hidden="false" customHeight="false" outlineLevel="0" collapsed="false">
      <c r="A33" s="30"/>
      <c r="B33" s="30"/>
      <c r="C33" s="30"/>
      <c r="D33" s="30"/>
      <c r="E33" s="30"/>
      <c r="F33" s="30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</row>
    <row r="35" customFormat="false" ht="15" hidden="false" customHeight="false" outlineLevel="0" collapsed="false">
      <c r="A35" s="30"/>
      <c r="B35" s="30"/>
      <c r="C35" s="30"/>
      <c r="D35" s="30"/>
      <c r="E35" s="30"/>
      <c r="F35" s="30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</row>
    <row r="37" customFormat="false" ht="15" hidden="false" customHeight="false" outlineLevel="0" collapsed="false">
      <c r="A37" s="30"/>
      <c r="B37" s="30"/>
      <c r="C37" s="30"/>
      <c r="D37" s="30"/>
      <c r="E37" s="30"/>
      <c r="F37" s="30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</row>
    <row r="39" customFormat="false" ht="15" hidden="false" customHeight="false" outlineLevel="0" collapsed="false">
      <c r="A39" s="30"/>
      <c r="B39" s="30"/>
      <c r="C39" s="30"/>
      <c r="D39" s="30"/>
      <c r="E39" s="30"/>
      <c r="F39" s="30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</row>
    <row r="41" customFormat="false" ht="15" hidden="false" customHeight="false" outlineLevel="0" collapsed="false">
      <c r="A41" s="30"/>
      <c r="B41" s="30"/>
      <c r="C41" s="30"/>
      <c r="D41" s="30"/>
      <c r="E41" s="30"/>
      <c r="F41" s="30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</row>
    <row r="43" customFormat="false" ht="15" hidden="false" customHeight="false" outlineLevel="0" collapsed="false">
      <c r="A43" s="30"/>
      <c r="B43" s="30"/>
      <c r="C43" s="30"/>
      <c r="D43" s="30"/>
      <c r="E43" s="30"/>
      <c r="F43" s="30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</row>
    <row r="45" customFormat="false" ht="15" hidden="false" customHeight="false" outlineLevel="0" collapsed="false">
      <c r="A45" s="30"/>
      <c r="B45" s="30"/>
      <c r="C45" s="30"/>
      <c r="D45" s="30"/>
      <c r="E45" s="30"/>
      <c r="F45" s="30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0"/>
    </row>
    <row r="47" customFormat="false" ht="15" hidden="false" customHeight="false" outlineLevel="0" collapsed="false">
      <c r="A47" s="30"/>
      <c r="B47" s="30"/>
      <c r="C47" s="30"/>
      <c r="D47" s="30"/>
      <c r="E47" s="30"/>
      <c r="F47" s="30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</row>
    <row r="49" customFormat="false" ht="15" hidden="false" customHeight="false" outlineLevel="0" collapsed="false">
      <c r="A49" s="30"/>
      <c r="B49" s="30"/>
      <c r="C49" s="30"/>
      <c r="D49" s="30"/>
      <c r="E49" s="30"/>
      <c r="F49" s="30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</row>
    <row r="51" customFormat="false" ht="15" hidden="false" customHeight="false" outlineLevel="0" collapsed="false">
      <c r="A51" s="30"/>
      <c r="B51" s="30"/>
      <c r="C51" s="30"/>
      <c r="D51" s="30"/>
      <c r="E51" s="30"/>
      <c r="F51" s="30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0"/>
    </row>
    <row r="53" customFormat="false" ht="15" hidden="false" customHeight="false" outlineLevel="0" collapsed="false">
      <c r="A53" s="30"/>
      <c r="B53" s="30"/>
      <c r="C53" s="30"/>
      <c r="D53" s="30"/>
      <c r="E53" s="30"/>
      <c r="F53" s="30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0"/>
    </row>
    <row r="55" customFormat="false" ht="15" hidden="false" customHeight="false" outlineLevel="0" collapsed="false">
      <c r="A55" s="30"/>
      <c r="B55" s="30"/>
      <c r="C55" s="30"/>
      <c r="D55" s="30"/>
      <c r="E55" s="30"/>
      <c r="F55" s="30"/>
    </row>
    <row r="56" customFormat="false" ht="15" hidden="false" customHeight="false" outlineLevel="0" collapsed="false">
      <c r="A56" s="30"/>
      <c r="B56" s="30"/>
      <c r="C56" s="30"/>
      <c r="D56" s="30"/>
      <c r="E56" s="30"/>
      <c r="F56" s="30"/>
    </row>
    <row r="57" customFormat="false" ht="15" hidden="false" customHeight="false" outlineLevel="0" collapsed="false">
      <c r="A57" s="30"/>
      <c r="B57" s="30"/>
      <c r="C57" s="30"/>
      <c r="D57" s="30"/>
      <c r="E57" s="30"/>
      <c r="F57" s="30"/>
    </row>
    <row r="58" customFormat="false" ht="15" hidden="false" customHeight="false" outlineLevel="0" collapsed="false">
      <c r="A58" s="30"/>
      <c r="B58" s="30"/>
      <c r="C58" s="30"/>
      <c r="D58" s="30"/>
      <c r="E58" s="30"/>
      <c r="F58" s="30"/>
    </row>
    <row r="59" customFormat="false" ht="15" hidden="false" customHeight="false" outlineLevel="0" collapsed="false">
      <c r="A59" s="30"/>
      <c r="B59" s="30"/>
      <c r="C59" s="30"/>
      <c r="D59" s="30"/>
      <c r="E59" s="30"/>
      <c r="F59" s="30"/>
    </row>
    <row r="60" customFormat="false" ht="15" hidden="false" customHeight="false" outlineLevel="0" collapsed="false">
      <c r="A60" s="30"/>
      <c r="B60" s="30"/>
      <c r="C60" s="30"/>
      <c r="D60" s="30"/>
      <c r="E60" s="30"/>
      <c r="F60" s="30"/>
    </row>
    <row r="61" customFormat="false" ht="15" hidden="false" customHeight="false" outlineLevel="0" collapsed="false">
      <c r="A61" s="30"/>
      <c r="B61" s="30"/>
      <c r="C61" s="30"/>
      <c r="D61" s="30"/>
      <c r="E61" s="30"/>
      <c r="F61" s="30"/>
    </row>
    <row r="62" customFormat="false" ht="15" hidden="false" customHeight="false" outlineLevel="0" collapsed="false">
      <c r="A62" s="30"/>
      <c r="B62" s="30"/>
      <c r="C62" s="30"/>
      <c r="D62" s="30"/>
      <c r="E62" s="30"/>
      <c r="F62" s="30"/>
    </row>
    <row r="63" customFormat="false" ht="15" hidden="false" customHeight="false" outlineLevel="0" collapsed="false">
      <c r="A63" s="30"/>
      <c r="B63" s="30"/>
      <c r="C63" s="30"/>
      <c r="D63" s="30"/>
      <c r="E63" s="30"/>
      <c r="F63" s="30"/>
    </row>
    <row r="64" customFormat="false" ht="15" hidden="false" customHeight="false" outlineLevel="0" collapsed="false">
      <c r="A64" s="30"/>
      <c r="B64" s="30"/>
      <c r="C64" s="30"/>
      <c r="D64" s="30"/>
      <c r="E64" s="30"/>
      <c r="F64" s="30"/>
    </row>
    <row r="65" customFormat="false" ht="15" hidden="false" customHeight="false" outlineLevel="0" collapsed="false">
      <c r="A65" s="30"/>
      <c r="B65" s="30"/>
      <c r="C65" s="30"/>
      <c r="D65" s="30"/>
      <c r="E65" s="30"/>
      <c r="F65" s="30"/>
    </row>
    <row r="66" customFormat="false" ht="15" hidden="false" customHeight="false" outlineLevel="0" collapsed="false">
      <c r="A66" s="30"/>
      <c r="B66" s="30"/>
      <c r="C66" s="30"/>
      <c r="D66" s="30"/>
      <c r="E66" s="30"/>
      <c r="F66" s="30"/>
    </row>
    <row r="67" customFormat="false" ht="15" hidden="false" customHeight="false" outlineLevel="0" collapsed="false">
      <c r="A67" s="30"/>
      <c r="B67" s="30"/>
      <c r="C67" s="30"/>
      <c r="D67" s="30"/>
      <c r="E67" s="30"/>
      <c r="F67" s="30"/>
    </row>
    <row r="68" customFormat="false" ht="15" hidden="false" customHeight="false" outlineLevel="0" collapsed="false">
      <c r="A68" s="30"/>
      <c r="B68" s="30"/>
      <c r="C68" s="30"/>
      <c r="D68" s="30"/>
      <c r="E68" s="30"/>
      <c r="F68" s="30"/>
    </row>
    <row r="69" customFormat="false" ht="15" hidden="false" customHeight="false" outlineLevel="0" collapsed="false">
      <c r="A69" s="30"/>
      <c r="B69" s="30"/>
      <c r="C69" s="30"/>
      <c r="D69" s="30"/>
      <c r="E69" s="30"/>
      <c r="F69" s="30"/>
    </row>
    <row r="70" customFormat="false" ht="15" hidden="false" customHeight="false" outlineLevel="0" collapsed="false">
      <c r="A70" s="30"/>
      <c r="B70" s="30"/>
      <c r="C70" s="30"/>
      <c r="D70" s="30"/>
      <c r="E70" s="30"/>
      <c r="F70" s="30"/>
    </row>
    <row r="71" customFormat="false" ht="15" hidden="false" customHeight="false" outlineLevel="0" collapsed="false">
      <c r="A71" s="30"/>
      <c r="B71" s="30"/>
      <c r="C71" s="30"/>
      <c r="D71" s="30"/>
      <c r="E71" s="30"/>
      <c r="F71" s="30"/>
    </row>
    <row r="72" customFormat="false" ht="15" hidden="false" customHeight="false" outlineLevel="0" collapsed="false">
      <c r="A72" s="30"/>
      <c r="B72" s="30"/>
      <c r="C72" s="30"/>
      <c r="D72" s="30"/>
      <c r="E72" s="30"/>
      <c r="F72" s="30"/>
    </row>
    <row r="73" customFormat="false" ht="15" hidden="false" customHeight="false" outlineLevel="0" collapsed="false">
      <c r="A73" s="30"/>
      <c r="B73" s="30"/>
      <c r="C73" s="30"/>
      <c r="D73" s="30"/>
      <c r="E73" s="30"/>
      <c r="F73" s="30"/>
    </row>
    <row r="74" customFormat="false" ht="15" hidden="false" customHeight="false" outlineLevel="0" collapsed="false">
      <c r="A74" s="30"/>
      <c r="B74" s="30"/>
      <c r="C74" s="30"/>
      <c r="D74" s="30"/>
      <c r="E74" s="30"/>
      <c r="F74" s="30"/>
    </row>
    <row r="75" customFormat="false" ht="15" hidden="false" customHeight="false" outlineLevel="0" collapsed="false">
      <c r="A75" s="30"/>
      <c r="B75" s="30"/>
      <c r="C75" s="30"/>
      <c r="D75" s="30"/>
      <c r="E75" s="30"/>
      <c r="F75" s="30"/>
    </row>
    <row r="76" customFormat="false" ht="15" hidden="false" customHeight="false" outlineLevel="0" collapsed="false">
      <c r="A76" s="30"/>
      <c r="B76" s="30"/>
      <c r="C76" s="30"/>
      <c r="D76" s="30"/>
      <c r="E76" s="30"/>
      <c r="F76" s="30"/>
    </row>
    <row r="77" customFormat="false" ht="15" hidden="false" customHeight="false" outlineLevel="0" collapsed="false">
      <c r="A77" s="30"/>
      <c r="B77" s="30"/>
      <c r="C77" s="30"/>
      <c r="D77" s="30"/>
      <c r="E77" s="30"/>
      <c r="F77" s="30"/>
    </row>
    <row r="78" customFormat="false" ht="15" hidden="false" customHeight="false" outlineLevel="0" collapsed="false">
      <c r="A78" s="30"/>
      <c r="B78" s="30"/>
      <c r="C78" s="30"/>
      <c r="D78" s="30"/>
      <c r="E78" s="30"/>
      <c r="F78" s="30"/>
    </row>
    <row r="79" customFormat="false" ht="15" hidden="false" customHeight="false" outlineLevel="0" collapsed="false">
      <c r="A79" s="30"/>
      <c r="B79" s="30"/>
      <c r="C79" s="30"/>
      <c r="D79" s="30"/>
      <c r="E79" s="30"/>
      <c r="F79" s="30"/>
    </row>
    <row r="80" customFormat="false" ht="15" hidden="false" customHeight="false" outlineLevel="0" collapsed="false">
      <c r="A80" s="30"/>
      <c r="B80" s="30"/>
      <c r="C80" s="30"/>
      <c r="D80" s="30"/>
      <c r="E80" s="30"/>
      <c r="F80" s="30"/>
    </row>
    <row r="81" customFormat="false" ht="15" hidden="false" customHeight="false" outlineLevel="0" collapsed="false">
      <c r="A81" s="30"/>
      <c r="B81" s="30"/>
      <c r="C81" s="30"/>
      <c r="D81" s="30"/>
      <c r="E81" s="30"/>
      <c r="F81" s="30"/>
    </row>
    <row r="82" customFormat="false" ht="15" hidden="false" customHeight="false" outlineLevel="0" collapsed="false">
      <c r="A82" s="30"/>
      <c r="B82" s="30"/>
      <c r="C82" s="30"/>
      <c r="D82" s="30"/>
      <c r="E82" s="30"/>
      <c r="F82" s="30"/>
    </row>
    <row r="83" customFormat="false" ht="15" hidden="false" customHeight="false" outlineLevel="0" collapsed="false">
      <c r="A83" s="30"/>
      <c r="B83" s="30"/>
      <c r="C83" s="30"/>
      <c r="D83" s="30"/>
      <c r="E83" s="30"/>
      <c r="F83" s="30"/>
    </row>
    <row r="84" customFormat="false" ht="15" hidden="false" customHeight="false" outlineLevel="0" collapsed="false">
      <c r="A84" s="30"/>
      <c r="B84" s="30"/>
      <c r="C84" s="30"/>
      <c r="D84" s="30"/>
      <c r="E84" s="30"/>
      <c r="F84" s="30"/>
    </row>
    <row r="85" customFormat="false" ht="15" hidden="false" customHeight="false" outlineLevel="0" collapsed="false">
      <c r="A85" s="30"/>
      <c r="B85" s="30"/>
      <c r="C85" s="30"/>
      <c r="D85" s="30"/>
      <c r="E85" s="30"/>
      <c r="F85" s="30"/>
    </row>
    <row r="86" customFormat="false" ht="15" hidden="false" customHeight="false" outlineLevel="0" collapsed="false">
      <c r="A86" s="30"/>
      <c r="B86" s="30"/>
      <c r="C86" s="30"/>
      <c r="D86" s="30"/>
      <c r="E86" s="30"/>
      <c r="F86" s="30"/>
    </row>
    <row r="87" customFormat="false" ht="15" hidden="false" customHeight="false" outlineLevel="0" collapsed="false">
      <c r="A87" s="30"/>
      <c r="B87" s="30"/>
      <c r="C87" s="30"/>
      <c r="D87" s="30"/>
      <c r="E87" s="30"/>
      <c r="F87" s="30"/>
    </row>
    <row r="88" customFormat="false" ht="15" hidden="false" customHeight="false" outlineLevel="0" collapsed="false">
      <c r="A88" s="30"/>
      <c r="B88" s="30"/>
      <c r="C88" s="30"/>
      <c r="D88" s="30"/>
      <c r="E88" s="30"/>
      <c r="F88" s="30"/>
    </row>
    <row r="89" customFormat="false" ht="15" hidden="false" customHeight="false" outlineLevel="0" collapsed="false">
      <c r="A89" s="30"/>
      <c r="B89" s="30"/>
      <c r="C89" s="30"/>
      <c r="D89" s="30"/>
      <c r="E89" s="30"/>
      <c r="F89" s="30"/>
    </row>
    <row r="90" customFormat="false" ht="15" hidden="false" customHeight="false" outlineLevel="0" collapsed="false">
      <c r="A90" s="30"/>
      <c r="B90" s="30"/>
      <c r="C90" s="30"/>
      <c r="D90" s="30"/>
      <c r="E90" s="30"/>
      <c r="F90" s="30"/>
    </row>
    <row r="91" customFormat="false" ht="15" hidden="false" customHeight="false" outlineLevel="0" collapsed="false">
      <c r="A91" s="30"/>
      <c r="B91" s="30"/>
      <c r="C91" s="30"/>
      <c r="D91" s="30"/>
      <c r="E91" s="30"/>
      <c r="F91" s="30"/>
    </row>
    <row r="92" customFormat="false" ht="15" hidden="false" customHeight="false" outlineLevel="0" collapsed="false">
      <c r="A92" s="30"/>
      <c r="B92" s="30"/>
      <c r="C92" s="30"/>
      <c r="D92" s="30"/>
      <c r="E92" s="30"/>
      <c r="F92" s="30"/>
    </row>
    <row r="93" customFormat="false" ht="15" hidden="false" customHeight="false" outlineLevel="0" collapsed="false">
      <c r="A93" s="30"/>
      <c r="B93" s="30"/>
      <c r="C93" s="30"/>
      <c r="D93" s="30"/>
      <c r="E93" s="30"/>
      <c r="F93" s="30"/>
    </row>
    <row r="94" customFormat="false" ht="15" hidden="false" customHeight="false" outlineLevel="0" collapsed="false">
      <c r="A94" s="30"/>
      <c r="B94" s="30"/>
      <c r="C94" s="30"/>
      <c r="D94" s="30"/>
      <c r="E94" s="30"/>
      <c r="F94" s="30"/>
    </row>
    <row r="95" customFormat="false" ht="15" hidden="false" customHeight="false" outlineLevel="0" collapsed="false">
      <c r="A95" s="30"/>
      <c r="B95" s="30"/>
      <c r="C95" s="30"/>
      <c r="D95" s="30"/>
      <c r="E95" s="30"/>
      <c r="F95" s="30"/>
    </row>
    <row r="96" customFormat="false" ht="15" hidden="false" customHeight="false" outlineLevel="0" collapsed="false">
      <c r="A96" s="30"/>
      <c r="B96" s="30"/>
      <c r="C96" s="30"/>
      <c r="D96" s="30"/>
      <c r="E96" s="30"/>
      <c r="F96" s="30"/>
    </row>
    <row r="97" customFormat="false" ht="15" hidden="false" customHeight="false" outlineLevel="0" collapsed="false">
      <c r="A97" s="30"/>
      <c r="B97" s="30"/>
      <c r="C97" s="30"/>
      <c r="D97" s="30"/>
      <c r="E97" s="30"/>
      <c r="F97" s="30"/>
    </row>
    <row r="98" customFormat="false" ht="15" hidden="false" customHeight="false" outlineLevel="0" collapsed="false">
      <c r="A98" s="30"/>
      <c r="B98" s="30"/>
      <c r="C98" s="30"/>
      <c r="D98" s="30"/>
      <c r="E98" s="30"/>
      <c r="F98" s="30"/>
    </row>
    <row r="99" customFormat="false" ht="15" hidden="false" customHeight="false" outlineLevel="0" collapsed="false">
      <c r="A99" s="30"/>
      <c r="B99" s="30"/>
      <c r="C99" s="30"/>
      <c r="D99" s="30"/>
      <c r="E99" s="30"/>
      <c r="F99" s="30"/>
    </row>
    <row r="100" customFormat="false" ht="15" hidden="false" customHeight="false" outlineLevel="0" collapsed="false">
      <c r="A100" s="30"/>
      <c r="B100" s="30"/>
      <c r="C100" s="30"/>
      <c r="D100" s="30"/>
      <c r="E100" s="30"/>
      <c r="F100" s="30"/>
    </row>
    <row r="101" customFormat="false" ht="15" hidden="false" customHeight="false" outlineLevel="0" collapsed="false">
      <c r="A101" s="30"/>
      <c r="B101" s="30"/>
      <c r="C101" s="30"/>
      <c r="D101" s="30"/>
      <c r="E101" s="30"/>
      <c r="F101" s="30"/>
    </row>
    <row r="102" customFormat="false" ht="15" hidden="false" customHeight="false" outlineLevel="0" collapsed="false">
      <c r="A102" s="30"/>
      <c r="B102" s="30"/>
      <c r="C102" s="30"/>
      <c r="D102" s="30"/>
      <c r="E102" s="30"/>
      <c r="F102" s="30"/>
    </row>
    <row r="103" customFormat="false" ht="15" hidden="false" customHeight="false" outlineLevel="0" collapsed="false">
      <c r="A103" s="30"/>
      <c r="B103" s="30"/>
      <c r="C103" s="30"/>
      <c r="D103" s="30"/>
      <c r="E103" s="30"/>
      <c r="F103" s="30"/>
    </row>
    <row r="104" customFormat="false" ht="15" hidden="false" customHeight="false" outlineLevel="0" collapsed="false">
      <c r="A104" s="30"/>
      <c r="B104" s="30"/>
      <c r="C104" s="30"/>
      <c r="D104" s="30"/>
      <c r="E104" s="30"/>
      <c r="F104" s="30"/>
    </row>
    <row r="105" customFormat="false" ht="15" hidden="false" customHeight="false" outlineLevel="0" collapsed="false">
      <c r="A105" s="30"/>
      <c r="B105" s="30"/>
      <c r="C105" s="30"/>
      <c r="D105" s="30"/>
      <c r="E105" s="30"/>
      <c r="F105" s="30"/>
    </row>
    <row r="106" customFormat="false" ht="15" hidden="false" customHeight="false" outlineLevel="0" collapsed="false">
      <c r="A106" s="30"/>
      <c r="B106" s="30"/>
      <c r="C106" s="30"/>
      <c r="D106" s="30"/>
      <c r="E106" s="30"/>
      <c r="F106" s="30"/>
    </row>
    <row r="107" customFormat="false" ht="15" hidden="false" customHeight="false" outlineLevel="0" collapsed="false">
      <c r="A107" s="30"/>
      <c r="B107" s="30"/>
      <c r="C107" s="30"/>
      <c r="D107" s="30"/>
      <c r="E107" s="30"/>
      <c r="F107" s="30"/>
    </row>
    <row r="108" customFormat="false" ht="15" hidden="false" customHeight="false" outlineLevel="0" collapsed="false">
      <c r="A108" s="30"/>
      <c r="B108" s="30"/>
      <c r="C108" s="30"/>
      <c r="D108" s="30"/>
      <c r="E108" s="30"/>
      <c r="F108" s="30"/>
    </row>
    <row r="109" customFormat="false" ht="15" hidden="false" customHeight="false" outlineLevel="0" collapsed="false">
      <c r="A109" s="30"/>
      <c r="B109" s="30"/>
      <c r="C109" s="30"/>
      <c r="D109" s="30"/>
      <c r="E109" s="30"/>
      <c r="F109" s="30"/>
    </row>
    <row r="110" customFormat="false" ht="15" hidden="false" customHeight="false" outlineLevel="0" collapsed="false">
      <c r="A110" s="30"/>
      <c r="B110" s="30"/>
      <c r="C110" s="30"/>
      <c r="D110" s="30"/>
      <c r="E110" s="30"/>
      <c r="F110" s="30"/>
    </row>
    <row r="111" customFormat="false" ht="15" hidden="false" customHeight="false" outlineLevel="0" collapsed="false">
      <c r="A111" s="30"/>
      <c r="B111" s="30"/>
      <c r="C111" s="30"/>
      <c r="D111" s="30"/>
      <c r="E111" s="30"/>
      <c r="F111" s="30"/>
    </row>
    <row r="112" customFormat="false" ht="15" hidden="false" customHeight="false" outlineLevel="0" collapsed="false">
      <c r="A112" s="30"/>
      <c r="B112" s="30"/>
      <c r="C112" s="30"/>
      <c r="D112" s="30"/>
      <c r="E112" s="30"/>
      <c r="F112" s="30"/>
    </row>
    <row r="113" customFormat="false" ht="15" hidden="false" customHeight="false" outlineLevel="0" collapsed="false">
      <c r="A113" s="30"/>
      <c r="B113" s="30"/>
      <c r="C113" s="30"/>
      <c r="D113" s="30"/>
      <c r="E113" s="30"/>
      <c r="F113" s="30"/>
    </row>
    <row r="114" customFormat="false" ht="15" hidden="false" customHeight="false" outlineLevel="0" collapsed="false">
      <c r="A114" s="30"/>
      <c r="B114" s="30"/>
      <c r="C114" s="30"/>
      <c r="D114" s="30"/>
      <c r="E114" s="30"/>
      <c r="F114" s="30"/>
    </row>
    <row r="115" customFormat="false" ht="15" hidden="false" customHeight="false" outlineLevel="0" collapsed="false">
      <c r="A115" s="30"/>
      <c r="B115" s="30"/>
      <c r="C115" s="30"/>
      <c r="D115" s="30"/>
      <c r="E115" s="30"/>
      <c r="F115" s="30"/>
    </row>
    <row r="116" customFormat="false" ht="15" hidden="false" customHeight="false" outlineLevel="0" collapsed="false">
      <c r="A116" s="30"/>
      <c r="B116" s="30"/>
      <c r="C116" s="30"/>
      <c r="D116" s="30"/>
      <c r="E116" s="30"/>
      <c r="F116" s="30"/>
    </row>
    <row r="117" customFormat="false" ht="15" hidden="false" customHeight="false" outlineLevel="0" collapsed="false">
      <c r="A117" s="30"/>
      <c r="B117" s="30"/>
      <c r="C117" s="30"/>
      <c r="D117" s="30"/>
      <c r="E117" s="30"/>
      <c r="F117" s="30"/>
    </row>
    <row r="118" customFormat="false" ht="15" hidden="false" customHeight="false" outlineLevel="0" collapsed="false">
      <c r="A118" s="30"/>
      <c r="B118" s="30"/>
      <c r="C118" s="30"/>
      <c r="D118" s="30"/>
      <c r="E118" s="30"/>
      <c r="F118" s="30"/>
    </row>
    <row r="119" customFormat="false" ht="15" hidden="false" customHeight="false" outlineLevel="0" collapsed="false">
      <c r="A119" s="30"/>
      <c r="B119" s="30"/>
      <c r="C119" s="30"/>
      <c r="D119" s="30"/>
      <c r="E119" s="30"/>
      <c r="F119" s="30"/>
    </row>
    <row r="120" customFormat="false" ht="15" hidden="false" customHeight="false" outlineLevel="0" collapsed="false">
      <c r="A120" s="30"/>
      <c r="B120" s="30"/>
      <c r="C120" s="30"/>
      <c r="D120" s="30"/>
      <c r="E120" s="30"/>
      <c r="F120" s="30"/>
    </row>
    <row r="121" customFormat="false" ht="15" hidden="false" customHeight="false" outlineLevel="0" collapsed="false">
      <c r="A121" s="30"/>
      <c r="B121" s="30"/>
      <c r="C121" s="30"/>
      <c r="D121" s="30"/>
      <c r="E121" s="30"/>
      <c r="F121" s="30"/>
    </row>
    <row r="122" customFormat="false" ht="15" hidden="false" customHeight="false" outlineLevel="0" collapsed="false">
      <c r="A122" s="30"/>
      <c r="B122" s="30"/>
      <c r="C122" s="30"/>
      <c r="D122" s="30"/>
      <c r="E122" s="30"/>
      <c r="F122" s="30"/>
    </row>
    <row r="123" customFormat="false" ht="15" hidden="false" customHeight="false" outlineLevel="0" collapsed="false">
      <c r="A123" s="30"/>
      <c r="B123" s="30"/>
      <c r="C123" s="30"/>
      <c r="D123" s="30"/>
      <c r="E123" s="30"/>
      <c r="F123" s="30"/>
    </row>
    <row r="124" customFormat="false" ht="15" hidden="false" customHeight="false" outlineLevel="0" collapsed="false">
      <c r="A124" s="30"/>
      <c r="B124" s="30"/>
      <c r="C124" s="30"/>
      <c r="D124" s="30"/>
      <c r="E124" s="30"/>
      <c r="F124" s="30"/>
    </row>
    <row r="125" customFormat="false" ht="15" hidden="false" customHeight="false" outlineLevel="0" collapsed="false">
      <c r="A125" s="30"/>
      <c r="B125" s="30"/>
      <c r="C125" s="30"/>
      <c r="D125" s="30"/>
      <c r="E125" s="30"/>
      <c r="F125" s="30"/>
    </row>
    <row r="126" customFormat="false" ht="15" hidden="false" customHeight="false" outlineLevel="0" collapsed="false">
      <c r="A126" s="30"/>
      <c r="B126" s="30"/>
      <c r="C126" s="30"/>
      <c r="D126" s="30"/>
      <c r="E126" s="30"/>
      <c r="F126" s="30"/>
    </row>
    <row r="127" customFormat="false" ht="15" hidden="false" customHeight="false" outlineLevel="0" collapsed="false">
      <c r="A127" s="30"/>
      <c r="B127" s="30"/>
      <c r="C127" s="30"/>
      <c r="D127" s="30"/>
      <c r="E127" s="30"/>
      <c r="F127" s="30"/>
    </row>
    <row r="128" customFormat="false" ht="15" hidden="false" customHeight="false" outlineLevel="0" collapsed="false">
      <c r="A128" s="30"/>
      <c r="B128" s="30"/>
      <c r="C128" s="30"/>
      <c r="D128" s="30"/>
      <c r="E128" s="30"/>
      <c r="F128" s="30"/>
    </row>
    <row r="129" customFormat="false" ht="15" hidden="false" customHeight="false" outlineLevel="0" collapsed="false">
      <c r="A129" s="30"/>
      <c r="B129" s="30"/>
      <c r="C129" s="30"/>
      <c r="D129" s="30"/>
      <c r="E129" s="30"/>
      <c r="F129" s="30"/>
    </row>
    <row r="130" customFormat="false" ht="15" hidden="false" customHeight="false" outlineLevel="0" collapsed="false">
      <c r="A130" s="30"/>
      <c r="B130" s="30"/>
      <c r="C130" s="30"/>
      <c r="D130" s="30"/>
      <c r="E130" s="30"/>
      <c r="F130" s="30"/>
    </row>
    <row r="131" customFormat="false" ht="15" hidden="false" customHeight="false" outlineLevel="0" collapsed="false">
      <c r="A131" s="30"/>
      <c r="B131" s="30"/>
      <c r="C131" s="30"/>
      <c r="D131" s="30"/>
      <c r="E131" s="30"/>
      <c r="F131" s="30"/>
    </row>
    <row r="132" customFormat="false" ht="15" hidden="false" customHeight="false" outlineLevel="0" collapsed="false">
      <c r="A132" s="30"/>
      <c r="B132" s="30"/>
      <c r="C132" s="30"/>
      <c r="D132" s="30"/>
      <c r="E132" s="30"/>
      <c r="F132" s="30"/>
    </row>
    <row r="133" customFormat="false" ht="15" hidden="false" customHeight="false" outlineLevel="0" collapsed="false">
      <c r="A133" s="30"/>
      <c r="B133" s="30"/>
      <c r="C133" s="30"/>
      <c r="D133" s="30"/>
      <c r="E133" s="30"/>
      <c r="F133" s="30"/>
    </row>
    <row r="134" customFormat="false" ht="15" hidden="false" customHeight="false" outlineLevel="0" collapsed="false">
      <c r="A134" s="30"/>
      <c r="B134" s="30"/>
      <c r="C134" s="30"/>
      <c r="D134" s="30"/>
      <c r="E134" s="30"/>
      <c r="F134" s="30"/>
    </row>
    <row r="135" customFormat="false" ht="15" hidden="false" customHeight="false" outlineLevel="0" collapsed="false">
      <c r="A135" s="30"/>
      <c r="B135" s="30"/>
      <c r="C135" s="30"/>
      <c r="D135" s="30"/>
      <c r="E135" s="30"/>
      <c r="F135" s="30"/>
    </row>
    <row r="136" customFormat="false" ht="15" hidden="false" customHeight="false" outlineLevel="0" collapsed="false">
      <c r="A136" s="30"/>
      <c r="B136" s="30"/>
      <c r="C136" s="30"/>
      <c r="D136" s="30"/>
      <c r="E136" s="30"/>
      <c r="F136" s="30"/>
    </row>
    <row r="137" customFormat="false" ht="15" hidden="false" customHeight="false" outlineLevel="0" collapsed="false">
      <c r="A137" s="30"/>
      <c r="B137" s="30"/>
      <c r="C137" s="30"/>
      <c r="D137" s="30"/>
      <c r="E137" s="30"/>
      <c r="F137" s="30"/>
    </row>
    <row r="138" customFormat="false" ht="15" hidden="false" customHeight="false" outlineLevel="0" collapsed="false">
      <c r="A138" s="30"/>
      <c r="B138" s="30"/>
      <c r="C138" s="30"/>
      <c r="D138" s="30"/>
      <c r="E138" s="30"/>
      <c r="F138" s="30"/>
    </row>
    <row r="139" customFormat="false" ht="15" hidden="false" customHeight="false" outlineLevel="0" collapsed="false">
      <c r="A139" s="30"/>
      <c r="B139" s="30"/>
      <c r="C139" s="30"/>
      <c r="D139" s="30"/>
      <c r="E139" s="30"/>
      <c r="F139" s="30"/>
    </row>
    <row r="140" customFormat="false" ht="15" hidden="false" customHeight="false" outlineLevel="0" collapsed="false">
      <c r="A140" s="30"/>
      <c r="B140" s="30"/>
      <c r="C140" s="30"/>
      <c r="D140" s="30"/>
      <c r="E140" s="30"/>
      <c r="F140" s="30"/>
    </row>
    <row r="141" customFormat="false" ht="15" hidden="false" customHeight="false" outlineLevel="0" collapsed="false">
      <c r="A141" s="30"/>
      <c r="B141" s="30"/>
      <c r="C141" s="30"/>
      <c r="D141" s="30"/>
      <c r="E141" s="30"/>
      <c r="F141" s="30"/>
    </row>
    <row r="142" customFormat="false" ht="15" hidden="false" customHeight="false" outlineLevel="0" collapsed="false">
      <c r="A142" s="30"/>
      <c r="B142" s="30"/>
      <c r="C142" s="30"/>
      <c r="D142" s="30"/>
      <c r="E142" s="30"/>
      <c r="F142" s="30"/>
    </row>
    <row r="143" customFormat="false" ht="15" hidden="false" customHeight="false" outlineLevel="0" collapsed="false">
      <c r="A143" s="30"/>
      <c r="B143" s="30"/>
      <c r="C143" s="30"/>
      <c r="D143" s="30"/>
      <c r="E143" s="30"/>
      <c r="F143" s="30"/>
    </row>
    <row r="144" customFormat="false" ht="15" hidden="false" customHeight="false" outlineLevel="0" collapsed="false">
      <c r="A144" s="30"/>
      <c r="B144" s="30"/>
      <c r="C144" s="30"/>
      <c r="D144" s="30"/>
      <c r="E144" s="30"/>
      <c r="F144" s="30"/>
    </row>
    <row r="145" customFormat="false" ht="15" hidden="false" customHeight="false" outlineLevel="0" collapsed="false">
      <c r="A145" s="30"/>
      <c r="B145" s="30"/>
      <c r="C145" s="30"/>
      <c r="D145" s="30"/>
      <c r="E145" s="30"/>
      <c r="F145" s="30"/>
    </row>
    <row r="146" customFormat="false" ht="15" hidden="false" customHeight="false" outlineLevel="0" collapsed="false">
      <c r="A146" s="30"/>
      <c r="B146" s="30"/>
      <c r="C146" s="30"/>
      <c r="D146" s="30"/>
      <c r="E146" s="30"/>
      <c r="F146" s="30"/>
    </row>
    <row r="147" customFormat="false" ht="15" hidden="false" customHeight="false" outlineLevel="0" collapsed="false">
      <c r="A147" s="30"/>
      <c r="B147" s="30"/>
      <c r="C147" s="30"/>
      <c r="D147" s="30"/>
      <c r="E147" s="30"/>
      <c r="F147" s="30"/>
    </row>
    <row r="148" customFormat="false" ht="15" hidden="false" customHeight="false" outlineLevel="0" collapsed="false">
      <c r="A148" s="30"/>
      <c r="B148" s="30"/>
      <c r="C148" s="30"/>
      <c r="D148" s="30"/>
      <c r="E148" s="30"/>
      <c r="F148" s="30"/>
    </row>
    <row r="149" customFormat="false" ht="15" hidden="false" customHeight="false" outlineLevel="0" collapsed="false">
      <c r="A149" s="30"/>
      <c r="B149" s="30"/>
      <c r="C149" s="30"/>
      <c r="D149" s="30"/>
      <c r="E149" s="30"/>
      <c r="F149" s="30"/>
    </row>
    <row r="150" customFormat="false" ht="15" hidden="false" customHeight="false" outlineLevel="0" collapsed="false">
      <c r="A150" s="30"/>
      <c r="B150" s="30"/>
      <c r="C150" s="30"/>
      <c r="D150" s="30"/>
      <c r="E150" s="30"/>
      <c r="F150" s="30"/>
    </row>
    <row r="151" customFormat="false" ht="15" hidden="false" customHeight="false" outlineLevel="0" collapsed="false">
      <c r="A151" s="30"/>
      <c r="B151" s="30"/>
      <c r="C151" s="30"/>
      <c r="D151" s="30"/>
      <c r="E151" s="30"/>
      <c r="F151" s="30"/>
    </row>
    <row r="152" customFormat="false" ht="15" hidden="false" customHeight="false" outlineLevel="0" collapsed="false">
      <c r="A152" s="30"/>
      <c r="B152" s="30"/>
      <c r="C152" s="30"/>
      <c r="D152" s="30"/>
      <c r="E152" s="30"/>
      <c r="F152" s="30"/>
    </row>
    <row r="153" customFormat="false" ht="15" hidden="false" customHeight="false" outlineLevel="0" collapsed="false">
      <c r="A153" s="30"/>
      <c r="B153" s="30"/>
      <c r="C153" s="30"/>
      <c r="D153" s="30"/>
      <c r="E153" s="30"/>
      <c r="F153" s="30"/>
    </row>
    <row r="154" customFormat="false" ht="15" hidden="false" customHeight="false" outlineLevel="0" collapsed="false">
      <c r="A154" s="30"/>
      <c r="B154" s="30"/>
      <c r="C154" s="30"/>
      <c r="D154" s="30"/>
      <c r="E154" s="30"/>
      <c r="F154" s="30"/>
    </row>
    <row r="155" customFormat="false" ht="15" hidden="false" customHeight="false" outlineLevel="0" collapsed="false">
      <c r="A155" s="30"/>
      <c r="B155" s="30"/>
      <c r="C155" s="30"/>
      <c r="D155" s="30"/>
      <c r="E155" s="30"/>
      <c r="F155" s="30"/>
    </row>
    <row r="156" customFormat="false" ht="15" hidden="false" customHeight="false" outlineLevel="0" collapsed="false">
      <c r="A156" s="30"/>
      <c r="B156" s="30"/>
      <c r="C156" s="30"/>
      <c r="D156" s="30"/>
      <c r="E156" s="30"/>
      <c r="F156" s="30"/>
    </row>
    <row r="157" customFormat="false" ht="15" hidden="false" customHeight="false" outlineLevel="0" collapsed="false">
      <c r="A157" s="30"/>
      <c r="B157" s="30"/>
      <c r="C157" s="30"/>
      <c r="D157" s="30"/>
      <c r="E157" s="30"/>
      <c r="F157" s="30"/>
    </row>
    <row r="158" customFormat="false" ht="15" hidden="false" customHeight="false" outlineLevel="0" collapsed="false">
      <c r="A158" s="30"/>
      <c r="B158" s="30"/>
      <c r="C158" s="30"/>
      <c r="D158" s="30"/>
      <c r="E158" s="30"/>
      <c r="F158" s="30"/>
    </row>
    <row r="159" customFormat="false" ht="15" hidden="false" customHeight="false" outlineLevel="0" collapsed="false">
      <c r="A159" s="30"/>
      <c r="B159" s="30"/>
      <c r="C159" s="30"/>
      <c r="D159" s="30"/>
      <c r="E159" s="30"/>
      <c r="F159" s="30"/>
    </row>
    <row r="160" customFormat="false" ht="15" hidden="false" customHeight="false" outlineLevel="0" collapsed="false">
      <c r="A160" s="30"/>
      <c r="B160" s="30"/>
      <c r="C160" s="30"/>
      <c r="D160" s="30"/>
      <c r="E160" s="30"/>
      <c r="F160" s="30"/>
    </row>
    <row r="161" customFormat="false" ht="15" hidden="false" customHeight="false" outlineLevel="0" collapsed="false">
      <c r="A161" s="30"/>
      <c r="B161" s="30"/>
      <c r="C161" s="30"/>
      <c r="D161" s="30"/>
      <c r="E161" s="30"/>
      <c r="F161" s="30"/>
    </row>
    <row r="162" customFormat="false" ht="15" hidden="false" customHeight="false" outlineLevel="0" collapsed="false">
      <c r="A162" s="30"/>
      <c r="B162" s="30"/>
      <c r="C162" s="30"/>
      <c r="D162" s="30"/>
      <c r="E162" s="30"/>
      <c r="F162" s="30"/>
    </row>
    <row r="163" customFormat="false" ht="15" hidden="false" customHeight="false" outlineLevel="0" collapsed="false">
      <c r="A163" s="30"/>
      <c r="B163" s="30"/>
      <c r="C163" s="30"/>
      <c r="D163" s="30"/>
      <c r="E163" s="30"/>
      <c r="F163" s="30"/>
    </row>
    <row r="164" customFormat="false" ht="15" hidden="false" customHeight="false" outlineLevel="0" collapsed="false">
      <c r="A164" s="30"/>
      <c r="B164" s="30"/>
      <c r="C164" s="30"/>
      <c r="D164" s="30"/>
      <c r="E164" s="30"/>
      <c r="F164" s="30"/>
    </row>
    <row r="165" customFormat="false" ht="15" hidden="false" customHeight="false" outlineLevel="0" collapsed="false">
      <c r="A165" s="30"/>
      <c r="B165" s="30"/>
      <c r="C165" s="30"/>
      <c r="D165" s="30"/>
      <c r="E165" s="30"/>
      <c r="F165" s="30"/>
    </row>
    <row r="166" customFormat="false" ht="15" hidden="false" customHeight="false" outlineLevel="0" collapsed="false">
      <c r="A166" s="30"/>
      <c r="B166" s="30"/>
      <c r="C166" s="30"/>
      <c r="D166" s="30"/>
      <c r="E166" s="30"/>
      <c r="F166" s="30"/>
    </row>
    <row r="167" customFormat="false" ht="15" hidden="false" customHeight="false" outlineLevel="0" collapsed="false">
      <c r="A167" s="30"/>
      <c r="B167" s="30"/>
      <c r="C167" s="30"/>
      <c r="D167" s="30"/>
      <c r="E167" s="30"/>
      <c r="F167" s="30"/>
    </row>
    <row r="168" customFormat="false" ht="15" hidden="false" customHeight="false" outlineLevel="0" collapsed="false">
      <c r="A168" s="30"/>
      <c r="B168" s="30"/>
      <c r="C168" s="30"/>
      <c r="D168" s="30"/>
      <c r="E168" s="30"/>
      <c r="F168" s="30"/>
    </row>
    <row r="169" customFormat="false" ht="15" hidden="false" customHeight="false" outlineLevel="0" collapsed="false">
      <c r="A169" s="30"/>
      <c r="B169" s="30"/>
      <c r="C169" s="30"/>
      <c r="D169" s="30"/>
      <c r="E169" s="30"/>
      <c r="F169" s="30"/>
    </row>
    <row r="170" customFormat="false" ht="15" hidden="false" customHeight="false" outlineLevel="0" collapsed="false">
      <c r="A170" s="30"/>
      <c r="B170" s="30"/>
      <c r="C170" s="30"/>
      <c r="D170" s="30"/>
      <c r="E170" s="30"/>
      <c r="F170" s="30"/>
    </row>
    <row r="171" customFormat="false" ht="15" hidden="false" customHeight="false" outlineLevel="0" collapsed="false">
      <c r="A171" s="30"/>
      <c r="B171" s="30"/>
      <c r="C171" s="30"/>
      <c r="D171" s="30"/>
      <c r="E171" s="30"/>
      <c r="F171" s="30"/>
    </row>
    <row r="172" customFormat="false" ht="15" hidden="false" customHeight="false" outlineLevel="0" collapsed="false">
      <c r="A172" s="30"/>
      <c r="B172" s="30"/>
      <c r="C172" s="30"/>
      <c r="D172" s="30"/>
      <c r="E172" s="30"/>
      <c r="F172" s="30"/>
    </row>
    <row r="173" customFormat="false" ht="15" hidden="false" customHeight="false" outlineLevel="0" collapsed="false">
      <c r="A173" s="30"/>
      <c r="B173" s="30"/>
      <c r="C173" s="30"/>
      <c r="D173" s="30"/>
      <c r="E173" s="30"/>
      <c r="F173" s="30"/>
    </row>
    <row r="174" customFormat="false" ht="15" hidden="false" customHeight="false" outlineLevel="0" collapsed="false">
      <c r="A174" s="30"/>
      <c r="B174" s="30"/>
      <c r="C174" s="30"/>
      <c r="D174" s="30"/>
      <c r="E174" s="30"/>
      <c r="F174" s="30"/>
    </row>
    <row r="175" customFormat="false" ht="15" hidden="false" customHeight="false" outlineLevel="0" collapsed="false">
      <c r="A175" s="30"/>
      <c r="B175" s="30"/>
      <c r="C175" s="30"/>
      <c r="D175" s="30"/>
      <c r="E175" s="30"/>
      <c r="F175" s="30"/>
    </row>
    <row r="176" customFormat="false" ht="15" hidden="false" customHeight="false" outlineLevel="0" collapsed="false">
      <c r="A176" s="30"/>
      <c r="B176" s="30"/>
      <c r="C176" s="30"/>
      <c r="D176" s="30"/>
      <c r="E176" s="30"/>
      <c r="F176" s="30"/>
    </row>
    <row r="177" customFormat="false" ht="15" hidden="false" customHeight="false" outlineLevel="0" collapsed="false">
      <c r="A177" s="30"/>
      <c r="B177" s="30"/>
      <c r="C177" s="30"/>
      <c r="D177" s="30"/>
      <c r="E177" s="30"/>
      <c r="F177" s="30"/>
    </row>
    <row r="178" customFormat="false" ht="15" hidden="false" customHeight="false" outlineLevel="0" collapsed="false">
      <c r="A178" s="30"/>
      <c r="B178" s="30"/>
      <c r="C178" s="30"/>
      <c r="D178" s="30"/>
      <c r="E178" s="30"/>
      <c r="F178" s="30"/>
    </row>
    <row r="179" customFormat="false" ht="15" hidden="false" customHeight="false" outlineLevel="0" collapsed="false">
      <c r="A179" s="30"/>
      <c r="B179" s="30"/>
      <c r="C179" s="30"/>
      <c r="D179" s="30"/>
      <c r="E179" s="30"/>
      <c r="F179" s="30"/>
    </row>
    <row r="180" customFormat="false" ht="15" hidden="false" customHeight="false" outlineLevel="0" collapsed="false">
      <c r="A180" s="30"/>
      <c r="B180" s="30"/>
      <c r="C180" s="30"/>
      <c r="D180" s="30"/>
      <c r="E180" s="30"/>
      <c r="F180" s="30"/>
    </row>
    <row r="181" customFormat="false" ht="15" hidden="false" customHeight="false" outlineLevel="0" collapsed="false">
      <c r="A181" s="30"/>
      <c r="B181" s="30"/>
      <c r="C181" s="30"/>
      <c r="D181" s="30"/>
      <c r="E181" s="30"/>
      <c r="F181" s="30"/>
    </row>
    <row r="182" customFormat="false" ht="15" hidden="false" customHeight="false" outlineLevel="0" collapsed="false">
      <c r="A182" s="30"/>
      <c r="B182" s="30"/>
      <c r="C182" s="30"/>
      <c r="D182" s="30"/>
      <c r="E182" s="30"/>
      <c r="F182" s="30"/>
    </row>
    <row r="183" customFormat="false" ht="15" hidden="false" customHeight="false" outlineLevel="0" collapsed="false">
      <c r="A183" s="30"/>
      <c r="B183" s="30"/>
      <c r="C183" s="30"/>
      <c r="D183" s="30"/>
      <c r="E183" s="30"/>
      <c r="F183" s="30"/>
    </row>
    <row r="184" customFormat="false" ht="15" hidden="false" customHeight="false" outlineLevel="0" collapsed="false">
      <c r="A184" s="30"/>
      <c r="B184" s="30"/>
      <c r="C184" s="30"/>
      <c r="D184" s="30"/>
      <c r="E184" s="30"/>
      <c r="F184" s="30"/>
    </row>
    <row r="185" customFormat="false" ht="15" hidden="false" customHeight="false" outlineLevel="0" collapsed="false">
      <c r="A185" s="30"/>
      <c r="B185" s="30"/>
      <c r="C185" s="30"/>
      <c r="D185" s="30"/>
      <c r="E185" s="30"/>
      <c r="F185" s="30"/>
    </row>
    <row r="186" customFormat="false" ht="15" hidden="false" customHeight="false" outlineLevel="0" collapsed="false">
      <c r="A186" s="30"/>
      <c r="B186" s="30"/>
      <c r="C186" s="30"/>
      <c r="D186" s="30"/>
      <c r="E186" s="30"/>
      <c r="F186" s="30"/>
    </row>
    <row r="187" customFormat="false" ht="15" hidden="false" customHeight="false" outlineLevel="0" collapsed="false">
      <c r="A187" s="30"/>
      <c r="B187" s="30"/>
      <c r="C187" s="30"/>
      <c r="D187" s="30"/>
      <c r="E187" s="30"/>
      <c r="F187" s="30"/>
    </row>
    <row r="188" customFormat="false" ht="15" hidden="false" customHeight="false" outlineLevel="0" collapsed="false">
      <c r="A188" s="30"/>
      <c r="B188" s="30"/>
      <c r="C188" s="30"/>
      <c r="D188" s="30"/>
      <c r="E188" s="30"/>
      <c r="F188" s="30"/>
    </row>
    <row r="189" customFormat="false" ht="15" hidden="false" customHeight="false" outlineLevel="0" collapsed="false">
      <c r="A189" s="30"/>
      <c r="B189" s="30"/>
      <c r="C189" s="30"/>
      <c r="D189" s="30"/>
      <c r="E189" s="30"/>
      <c r="F189" s="30"/>
    </row>
    <row r="190" customFormat="false" ht="15" hidden="false" customHeight="false" outlineLevel="0" collapsed="false">
      <c r="A190" s="30"/>
      <c r="B190" s="30"/>
      <c r="C190" s="30"/>
      <c r="D190" s="30"/>
      <c r="E190" s="30"/>
      <c r="F190" s="30"/>
    </row>
    <row r="191" customFormat="false" ht="15" hidden="false" customHeight="false" outlineLevel="0" collapsed="false">
      <c r="A191" s="30"/>
      <c r="B191" s="30"/>
      <c r="C191" s="30"/>
      <c r="D191" s="30"/>
      <c r="E191" s="30"/>
      <c r="F191" s="30"/>
    </row>
    <row r="192" customFormat="false" ht="15" hidden="false" customHeight="false" outlineLevel="0" collapsed="false">
      <c r="A192" s="30"/>
      <c r="B192" s="30"/>
      <c r="C192" s="30"/>
      <c r="D192" s="30"/>
      <c r="E192" s="30"/>
      <c r="F192" s="30"/>
    </row>
    <row r="193" customFormat="false" ht="15" hidden="false" customHeight="false" outlineLevel="0" collapsed="false">
      <c r="A193" s="30"/>
      <c r="B193" s="30"/>
      <c r="C193" s="30"/>
      <c r="D193" s="30"/>
      <c r="E193" s="30"/>
      <c r="F193" s="30"/>
    </row>
    <row r="194" customFormat="false" ht="15" hidden="false" customHeight="false" outlineLevel="0" collapsed="false">
      <c r="A194" s="30"/>
      <c r="B194" s="30"/>
      <c r="C194" s="30"/>
      <c r="D194" s="30"/>
      <c r="E194" s="30"/>
      <c r="F194" s="30"/>
    </row>
    <row r="195" customFormat="false" ht="15" hidden="false" customHeight="false" outlineLevel="0" collapsed="false">
      <c r="A195" s="30"/>
      <c r="B195" s="30"/>
      <c r="C195" s="30"/>
      <c r="D195" s="30"/>
      <c r="E195" s="30"/>
      <c r="F195" s="30"/>
    </row>
    <row r="196" customFormat="false" ht="15" hidden="false" customHeight="false" outlineLevel="0" collapsed="false">
      <c r="A196" s="30"/>
      <c r="B196" s="30"/>
      <c r="C196" s="30"/>
      <c r="D196" s="30"/>
      <c r="E196" s="30"/>
      <c r="F196" s="30"/>
    </row>
    <row r="197" customFormat="false" ht="15" hidden="false" customHeight="false" outlineLevel="0" collapsed="false">
      <c r="A197" s="30"/>
      <c r="B197" s="30"/>
      <c r="C197" s="30"/>
      <c r="D197" s="30"/>
      <c r="E197" s="30"/>
      <c r="F197" s="30"/>
    </row>
    <row r="198" customFormat="false" ht="15" hidden="false" customHeight="false" outlineLevel="0" collapsed="false">
      <c r="A198" s="30"/>
      <c r="B198" s="30"/>
      <c r="C198" s="30"/>
      <c r="D198" s="30"/>
      <c r="E198" s="30"/>
      <c r="F198" s="30"/>
    </row>
    <row r="199" customFormat="false" ht="15" hidden="false" customHeight="false" outlineLevel="0" collapsed="false">
      <c r="A199" s="30"/>
      <c r="B199" s="30"/>
      <c r="C199" s="30"/>
      <c r="D199" s="30"/>
      <c r="E199" s="30"/>
      <c r="F199" s="30"/>
    </row>
    <row r="200" customFormat="false" ht="15" hidden="false" customHeight="false" outlineLevel="0" collapsed="false">
      <c r="A200" s="30"/>
      <c r="B200" s="30"/>
      <c r="C200" s="30"/>
      <c r="D200" s="30"/>
      <c r="E200" s="30"/>
      <c r="F200" s="30"/>
    </row>
    <row r="201" customFormat="false" ht="15" hidden="false" customHeight="false" outlineLevel="0" collapsed="false">
      <c r="A201" s="30"/>
      <c r="B201" s="30"/>
      <c r="C201" s="30"/>
      <c r="D201" s="30"/>
      <c r="E201" s="30"/>
      <c r="F201" s="30"/>
    </row>
    <row r="202" customFormat="false" ht="15" hidden="false" customHeight="false" outlineLevel="0" collapsed="false">
      <c r="A202" s="30"/>
      <c r="B202" s="30"/>
      <c r="C202" s="30"/>
      <c r="D202" s="30"/>
      <c r="E202" s="30"/>
      <c r="F202" s="30"/>
    </row>
    <row r="203" customFormat="false" ht="15" hidden="false" customHeight="false" outlineLevel="0" collapsed="false">
      <c r="A203" s="30"/>
      <c r="B203" s="30"/>
      <c r="C203" s="30"/>
      <c r="D203" s="30"/>
      <c r="E203" s="30"/>
      <c r="F203" s="30"/>
    </row>
    <row r="204" customFormat="false" ht="15" hidden="false" customHeight="false" outlineLevel="0" collapsed="false">
      <c r="A204" s="30"/>
      <c r="B204" s="30"/>
      <c r="C204" s="30"/>
      <c r="D204" s="30"/>
      <c r="E204" s="30"/>
      <c r="F204" s="30"/>
    </row>
    <row r="205" customFormat="false" ht="15" hidden="false" customHeight="false" outlineLevel="0" collapsed="false">
      <c r="A205" s="30"/>
      <c r="B205" s="30"/>
      <c r="C205" s="30"/>
      <c r="D205" s="30"/>
      <c r="E205" s="30"/>
      <c r="F205" s="30"/>
    </row>
    <row r="206" customFormat="false" ht="15" hidden="false" customHeight="false" outlineLevel="0" collapsed="false">
      <c r="A206" s="30"/>
      <c r="B206" s="30"/>
      <c r="C206" s="30"/>
      <c r="D206" s="30"/>
      <c r="E206" s="30"/>
      <c r="F206" s="30"/>
    </row>
    <row r="207" customFormat="false" ht="15" hidden="false" customHeight="false" outlineLevel="0" collapsed="false">
      <c r="A207" s="30"/>
      <c r="B207" s="30"/>
      <c r="C207" s="30"/>
      <c r="D207" s="30"/>
      <c r="E207" s="30"/>
      <c r="F207" s="30"/>
    </row>
  </sheetData>
  <dataValidations count="1">
    <dataValidation allowBlank="true" errorStyle="stop" operator="between" showDropDown="false" showErrorMessage="false" showInputMessage="false" sqref="E8:E20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3" min="12" style="0" width="20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26"/>
  </cols>
  <sheetData>
    <row r="1" customFormat="false" ht="21.75" hidden="false" customHeight="true" outlineLevel="0" collapsed="false">
      <c r="A1" s="15" t="s">
        <v>243</v>
      </c>
    </row>
    <row r="2" customFormat="false" ht="15" hidden="false" customHeight="false" outlineLevel="0" collapsed="false">
      <c r="A2" s="2" t="s">
        <v>244</v>
      </c>
    </row>
    <row r="6" customFormat="false" ht="15" hidden="false" customHeight="false" outlineLevel="0" collapsed="false">
      <c r="A6" s="17" t="s">
        <v>245</v>
      </c>
      <c r="B6" s="17"/>
      <c r="C6" s="17"/>
      <c r="D6" s="17"/>
      <c r="E6" s="17"/>
      <c r="F6" s="17"/>
      <c r="G6" s="17" t="s">
        <v>246</v>
      </c>
      <c r="H6" s="17"/>
      <c r="I6" s="17"/>
      <c r="J6" s="17"/>
      <c r="K6" s="17"/>
      <c r="L6" s="17" t="s">
        <v>247</v>
      </c>
      <c r="M6" s="17"/>
      <c r="N6" s="17"/>
      <c r="O6" s="17"/>
      <c r="P6" s="17"/>
    </row>
    <row r="7" customFormat="false" ht="42" hidden="false" customHeight="true" outlineLevel="0" collapsed="false">
      <c r="A7" s="19" t="s">
        <v>128</v>
      </c>
      <c r="B7" s="19" t="s">
        <v>248</v>
      </c>
      <c r="C7" s="19" t="s">
        <v>249</v>
      </c>
      <c r="D7" s="19" t="s">
        <v>250</v>
      </c>
      <c r="E7" s="19" t="s">
        <v>251</v>
      </c>
      <c r="F7" s="19" t="s">
        <v>235</v>
      </c>
      <c r="G7" s="19" t="s">
        <v>252</v>
      </c>
      <c r="H7" s="19" t="s">
        <v>253</v>
      </c>
      <c r="I7" s="19" t="s">
        <v>254</v>
      </c>
      <c r="J7" s="19" t="s">
        <v>255</v>
      </c>
      <c r="K7" s="19" t="s">
        <v>256</v>
      </c>
      <c r="L7" s="19" t="s">
        <v>257</v>
      </c>
      <c r="M7" s="19" t="s">
        <v>258</v>
      </c>
      <c r="N7" s="19" t="s">
        <v>259</v>
      </c>
      <c r="O7" s="19" t="s">
        <v>260</v>
      </c>
      <c r="P7" s="19" t="s">
        <v>189</v>
      </c>
    </row>
    <row r="8" customFormat="false" ht="15" hidden="false" customHeight="false" outlineLevel="0" collapsed="false">
      <c r="A8" s="20" t="s">
        <v>126</v>
      </c>
      <c r="B8" s="38" t="n">
        <v>46307</v>
      </c>
      <c r="C8" s="20" t="s">
        <v>261</v>
      </c>
      <c r="D8" s="20" t="s">
        <v>262</v>
      </c>
      <c r="E8" s="20" t="s">
        <v>263</v>
      </c>
      <c r="F8" s="20" t="s">
        <v>264</v>
      </c>
      <c r="G8" s="35" t="n">
        <v>215000</v>
      </c>
      <c r="H8" s="35" t="n">
        <v>25</v>
      </c>
      <c r="I8" s="35" t="n">
        <v>55</v>
      </c>
      <c r="J8" s="35" t="n">
        <v>1450</v>
      </c>
      <c r="K8" s="36" t="n">
        <v>3</v>
      </c>
      <c r="L8" s="20" t="s">
        <v>265</v>
      </c>
      <c r="M8" s="20" t="s">
        <v>266</v>
      </c>
      <c r="N8" s="20" t="s">
        <v>242</v>
      </c>
      <c r="O8" s="20" t="s">
        <v>267</v>
      </c>
      <c r="P8" s="20" t="s">
        <v>170</v>
      </c>
    </row>
    <row r="9" customFormat="false" ht="15" hidden="false" customHeight="false" outlineLevel="0" collapsed="false">
      <c r="A9" s="30"/>
      <c r="B9" s="43"/>
      <c r="C9" s="30"/>
      <c r="D9" s="30"/>
      <c r="E9" s="30"/>
      <c r="F9" s="30"/>
      <c r="G9" s="41"/>
      <c r="H9" s="41"/>
      <c r="I9" s="41"/>
      <c r="J9" s="41"/>
      <c r="K9" s="27"/>
      <c r="L9" s="30"/>
      <c r="M9" s="30"/>
      <c r="N9" s="30"/>
      <c r="O9" s="30"/>
      <c r="P9" s="30"/>
    </row>
    <row r="10" customFormat="false" ht="15" hidden="false" customHeight="false" outlineLevel="0" collapsed="false">
      <c r="A10" s="30"/>
      <c r="B10" s="43"/>
      <c r="C10" s="30"/>
      <c r="D10" s="30"/>
      <c r="E10" s="30"/>
      <c r="F10" s="30"/>
      <c r="G10" s="41"/>
      <c r="H10" s="41"/>
      <c r="I10" s="41"/>
      <c r="J10" s="41"/>
      <c r="K10" s="27"/>
      <c r="L10" s="30"/>
      <c r="M10" s="30"/>
      <c r="N10" s="30"/>
      <c r="O10" s="30"/>
      <c r="P10" s="30"/>
    </row>
    <row r="11" customFormat="false" ht="15" hidden="false" customHeight="false" outlineLevel="0" collapsed="false">
      <c r="A11" s="30"/>
      <c r="B11" s="43"/>
      <c r="C11" s="30"/>
      <c r="D11" s="30"/>
      <c r="E11" s="30"/>
      <c r="F11" s="30"/>
      <c r="G11" s="41"/>
      <c r="H11" s="41"/>
      <c r="I11" s="41"/>
      <c r="J11" s="41"/>
      <c r="K11" s="27"/>
      <c r="L11" s="30"/>
      <c r="M11" s="30"/>
      <c r="N11" s="30"/>
      <c r="O11" s="30"/>
      <c r="P11" s="30"/>
    </row>
    <row r="12" customFormat="false" ht="15" hidden="false" customHeight="false" outlineLevel="0" collapsed="false">
      <c r="A12" s="30"/>
      <c r="B12" s="43"/>
      <c r="C12" s="30"/>
      <c r="D12" s="30"/>
      <c r="E12" s="30"/>
      <c r="F12" s="30"/>
      <c r="G12" s="41"/>
      <c r="H12" s="41"/>
      <c r="I12" s="41"/>
      <c r="J12" s="41"/>
      <c r="K12" s="27"/>
      <c r="L12" s="30"/>
      <c r="M12" s="30"/>
      <c r="N12" s="30"/>
      <c r="O12" s="30"/>
      <c r="P12" s="30"/>
    </row>
    <row r="13" customFormat="false" ht="15" hidden="false" customHeight="false" outlineLevel="0" collapsed="false">
      <c r="A13" s="30"/>
      <c r="B13" s="43"/>
      <c r="C13" s="30"/>
      <c r="D13" s="30"/>
      <c r="E13" s="30"/>
      <c r="F13" s="30"/>
      <c r="G13" s="41"/>
      <c r="H13" s="41"/>
      <c r="I13" s="41"/>
      <c r="J13" s="41"/>
      <c r="K13" s="27"/>
      <c r="L13" s="30"/>
      <c r="M13" s="30"/>
      <c r="N13" s="30"/>
      <c r="O13" s="30"/>
      <c r="P13" s="30"/>
    </row>
    <row r="14" customFormat="false" ht="15" hidden="false" customHeight="false" outlineLevel="0" collapsed="false">
      <c r="A14" s="30"/>
      <c r="B14" s="43"/>
      <c r="C14" s="30"/>
      <c r="D14" s="30"/>
      <c r="E14" s="30"/>
      <c r="F14" s="30"/>
      <c r="G14" s="41"/>
      <c r="H14" s="41"/>
      <c r="I14" s="41"/>
      <c r="J14" s="41"/>
      <c r="K14" s="27"/>
      <c r="L14" s="30"/>
      <c r="M14" s="30"/>
      <c r="N14" s="30"/>
      <c r="O14" s="30"/>
      <c r="P14" s="30"/>
    </row>
    <row r="15" customFormat="false" ht="15" hidden="false" customHeight="false" outlineLevel="0" collapsed="false">
      <c r="A15" s="30"/>
      <c r="B15" s="43"/>
      <c r="C15" s="30"/>
      <c r="D15" s="30"/>
      <c r="E15" s="30"/>
      <c r="F15" s="30"/>
      <c r="G15" s="41"/>
      <c r="H15" s="41"/>
      <c r="I15" s="41"/>
      <c r="J15" s="41"/>
      <c r="K15" s="27"/>
      <c r="L15" s="30"/>
      <c r="M15" s="30"/>
      <c r="N15" s="30"/>
      <c r="O15" s="30"/>
      <c r="P15" s="30"/>
    </row>
    <row r="16" customFormat="false" ht="15" hidden="false" customHeight="false" outlineLevel="0" collapsed="false">
      <c r="A16" s="30"/>
      <c r="B16" s="43"/>
      <c r="C16" s="30"/>
      <c r="D16" s="30"/>
      <c r="E16" s="30"/>
      <c r="F16" s="30"/>
      <c r="G16" s="41"/>
      <c r="H16" s="41"/>
      <c r="I16" s="41"/>
      <c r="J16" s="41"/>
      <c r="K16" s="27"/>
      <c r="L16" s="30"/>
      <c r="M16" s="30"/>
      <c r="N16" s="30"/>
      <c r="O16" s="30"/>
      <c r="P16" s="30"/>
    </row>
    <row r="17" customFormat="false" ht="15" hidden="false" customHeight="false" outlineLevel="0" collapsed="false">
      <c r="A17" s="30"/>
      <c r="B17" s="43"/>
      <c r="C17" s="30"/>
      <c r="D17" s="30"/>
      <c r="E17" s="30"/>
      <c r="F17" s="30"/>
      <c r="G17" s="41"/>
      <c r="H17" s="41"/>
      <c r="I17" s="41"/>
      <c r="J17" s="41"/>
      <c r="K17" s="27"/>
      <c r="L17" s="30"/>
      <c r="M17" s="30"/>
      <c r="N17" s="30"/>
      <c r="O17" s="30"/>
      <c r="P17" s="30"/>
    </row>
    <row r="18" customFormat="false" ht="15" hidden="false" customHeight="false" outlineLevel="0" collapsed="false">
      <c r="A18" s="30"/>
      <c r="B18" s="43"/>
      <c r="C18" s="30"/>
      <c r="D18" s="30"/>
      <c r="E18" s="30"/>
      <c r="F18" s="30"/>
      <c r="G18" s="41"/>
      <c r="H18" s="41"/>
      <c r="I18" s="41"/>
      <c r="J18" s="41"/>
      <c r="K18" s="27"/>
      <c r="L18" s="30"/>
      <c r="M18" s="30"/>
      <c r="N18" s="30"/>
      <c r="O18" s="30"/>
      <c r="P18" s="30"/>
    </row>
    <row r="19" customFormat="false" ht="15" hidden="false" customHeight="false" outlineLevel="0" collapsed="false">
      <c r="A19" s="30"/>
      <c r="B19" s="43"/>
      <c r="C19" s="30"/>
      <c r="D19" s="30"/>
      <c r="E19" s="30"/>
      <c r="F19" s="30"/>
      <c r="G19" s="41"/>
      <c r="H19" s="41"/>
      <c r="I19" s="41"/>
      <c r="J19" s="41"/>
      <c r="K19" s="27"/>
      <c r="L19" s="30"/>
      <c r="M19" s="30"/>
      <c r="N19" s="30"/>
      <c r="O19" s="30"/>
      <c r="P19" s="30"/>
    </row>
    <row r="20" customFormat="false" ht="15" hidden="false" customHeight="false" outlineLevel="0" collapsed="false">
      <c r="A20" s="30"/>
      <c r="B20" s="43"/>
      <c r="C20" s="30"/>
      <c r="D20" s="30"/>
      <c r="E20" s="30"/>
      <c r="F20" s="30"/>
      <c r="G20" s="41"/>
      <c r="H20" s="41"/>
      <c r="I20" s="41"/>
      <c r="J20" s="41"/>
      <c r="K20" s="27"/>
      <c r="L20" s="30"/>
      <c r="M20" s="30"/>
      <c r="N20" s="30"/>
      <c r="O20" s="30"/>
      <c r="P20" s="30"/>
    </row>
    <row r="21" customFormat="false" ht="15" hidden="false" customHeight="false" outlineLevel="0" collapsed="false">
      <c r="A21" s="30"/>
      <c r="B21" s="43"/>
      <c r="C21" s="30"/>
      <c r="D21" s="30"/>
      <c r="E21" s="30"/>
      <c r="F21" s="30"/>
      <c r="G21" s="41"/>
      <c r="H21" s="41"/>
      <c r="I21" s="41"/>
      <c r="J21" s="41"/>
      <c r="K21" s="27"/>
      <c r="L21" s="30"/>
      <c r="M21" s="30"/>
      <c r="N21" s="30"/>
      <c r="O21" s="30"/>
      <c r="P21" s="30"/>
    </row>
    <row r="22" customFormat="false" ht="15" hidden="false" customHeight="false" outlineLevel="0" collapsed="false">
      <c r="A22" s="30"/>
      <c r="B22" s="43"/>
      <c r="C22" s="30"/>
      <c r="D22" s="30"/>
      <c r="E22" s="30"/>
      <c r="F22" s="30"/>
      <c r="G22" s="41"/>
      <c r="H22" s="41"/>
      <c r="I22" s="41"/>
      <c r="J22" s="41"/>
      <c r="K22" s="27"/>
      <c r="L22" s="30"/>
      <c r="M22" s="30"/>
      <c r="N22" s="30"/>
      <c r="O22" s="30"/>
      <c r="P22" s="30"/>
    </row>
    <row r="23" customFormat="false" ht="15" hidden="false" customHeight="false" outlineLevel="0" collapsed="false">
      <c r="A23" s="30"/>
      <c r="B23" s="43"/>
      <c r="C23" s="30"/>
      <c r="D23" s="30"/>
      <c r="E23" s="30"/>
      <c r="F23" s="30"/>
      <c r="G23" s="41"/>
      <c r="H23" s="41"/>
      <c r="I23" s="41"/>
      <c r="J23" s="41"/>
      <c r="K23" s="27"/>
      <c r="L23" s="30"/>
      <c r="M23" s="30"/>
      <c r="N23" s="30"/>
      <c r="O23" s="30"/>
      <c r="P23" s="30"/>
    </row>
    <row r="24" customFormat="false" ht="15" hidden="false" customHeight="false" outlineLevel="0" collapsed="false">
      <c r="A24" s="30"/>
      <c r="B24" s="43"/>
      <c r="C24" s="30"/>
      <c r="D24" s="30"/>
      <c r="E24" s="30"/>
      <c r="F24" s="30"/>
      <c r="G24" s="41"/>
      <c r="H24" s="41"/>
      <c r="I24" s="41"/>
      <c r="J24" s="41"/>
      <c r="K24" s="27"/>
      <c r="L24" s="30"/>
      <c r="M24" s="30"/>
      <c r="N24" s="30"/>
      <c r="O24" s="30"/>
      <c r="P24" s="30"/>
    </row>
    <row r="25" customFormat="false" ht="15" hidden="false" customHeight="false" outlineLevel="0" collapsed="false">
      <c r="A25" s="30"/>
      <c r="B25" s="43"/>
      <c r="C25" s="30"/>
      <c r="D25" s="30"/>
      <c r="E25" s="30"/>
      <c r="F25" s="30"/>
      <c r="G25" s="41"/>
      <c r="H25" s="41"/>
      <c r="I25" s="41"/>
      <c r="J25" s="41"/>
      <c r="K25" s="27"/>
      <c r="L25" s="30"/>
      <c r="M25" s="30"/>
      <c r="N25" s="30"/>
      <c r="O25" s="30"/>
      <c r="P25" s="30"/>
    </row>
    <row r="26" customFormat="false" ht="15" hidden="false" customHeight="false" outlineLevel="0" collapsed="false">
      <c r="A26" s="30"/>
      <c r="B26" s="43"/>
      <c r="C26" s="30"/>
      <c r="D26" s="30"/>
      <c r="E26" s="30"/>
      <c r="F26" s="30"/>
      <c r="G26" s="41"/>
      <c r="H26" s="41"/>
      <c r="I26" s="41"/>
      <c r="J26" s="41"/>
      <c r="K26" s="27"/>
      <c r="L26" s="30"/>
      <c r="M26" s="30"/>
      <c r="N26" s="30"/>
      <c r="O26" s="30"/>
      <c r="P26" s="30"/>
    </row>
    <row r="27" customFormat="false" ht="15" hidden="false" customHeight="false" outlineLevel="0" collapsed="false">
      <c r="A27" s="30"/>
      <c r="B27" s="43"/>
      <c r="C27" s="30"/>
      <c r="D27" s="30"/>
      <c r="E27" s="30"/>
      <c r="F27" s="30"/>
      <c r="G27" s="41"/>
      <c r="H27" s="41"/>
      <c r="I27" s="41"/>
      <c r="J27" s="41"/>
      <c r="K27" s="27"/>
      <c r="L27" s="30"/>
      <c r="M27" s="30"/>
      <c r="N27" s="30"/>
      <c r="O27" s="30"/>
      <c r="P27" s="30"/>
    </row>
    <row r="28" customFormat="false" ht="15" hidden="false" customHeight="false" outlineLevel="0" collapsed="false">
      <c r="A28" s="30"/>
      <c r="B28" s="43"/>
      <c r="C28" s="30"/>
      <c r="D28" s="30"/>
      <c r="E28" s="30"/>
      <c r="F28" s="30"/>
      <c r="G28" s="41"/>
      <c r="H28" s="41"/>
      <c r="I28" s="41"/>
      <c r="J28" s="41"/>
      <c r="K28" s="27"/>
      <c r="L28" s="30"/>
      <c r="M28" s="30"/>
      <c r="N28" s="30"/>
      <c r="O28" s="30"/>
      <c r="P28" s="30"/>
    </row>
    <row r="29" customFormat="false" ht="15" hidden="false" customHeight="false" outlineLevel="0" collapsed="false">
      <c r="A29" s="30"/>
      <c r="B29" s="43"/>
      <c r="C29" s="30"/>
      <c r="D29" s="30"/>
      <c r="E29" s="30"/>
      <c r="F29" s="30"/>
      <c r="G29" s="41"/>
      <c r="H29" s="41"/>
      <c r="I29" s="41"/>
      <c r="J29" s="41"/>
      <c r="K29" s="27"/>
      <c r="L29" s="30"/>
      <c r="M29" s="30"/>
      <c r="N29" s="30"/>
      <c r="O29" s="30"/>
      <c r="P29" s="30"/>
    </row>
    <row r="30" customFormat="false" ht="15" hidden="false" customHeight="false" outlineLevel="0" collapsed="false">
      <c r="A30" s="30"/>
      <c r="B30" s="43"/>
      <c r="C30" s="30"/>
      <c r="D30" s="30"/>
      <c r="E30" s="30"/>
      <c r="F30" s="30"/>
      <c r="G30" s="41"/>
      <c r="H30" s="41"/>
      <c r="I30" s="41"/>
      <c r="J30" s="41"/>
      <c r="K30" s="27"/>
      <c r="L30" s="30"/>
      <c r="M30" s="30"/>
      <c r="N30" s="30"/>
      <c r="O30" s="30"/>
      <c r="P30" s="30"/>
    </row>
    <row r="31" customFormat="false" ht="15" hidden="false" customHeight="false" outlineLevel="0" collapsed="false">
      <c r="A31" s="30"/>
      <c r="B31" s="43"/>
      <c r="C31" s="30"/>
      <c r="D31" s="30"/>
      <c r="E31" s="30"/>
      <c r="F31" s="30"/>
      <c r="G31" s="41"/>
      <c r="H31" s="41"/>
      <c r="I31" s="41"/>
      <c r="J31" s="41"/>
      <c r="K31" s="27"/>
      <c r="L31" s="30"/>
      <c r="M31" s="30"/>
      <c r="N31" s="30"/>
      <c r="O31" s="30"/>
      <c r="P31" s="30"/>
    </row>
    <row r="32" customFormat="false" ht="15" hidden="false" customHeight="false" outlineLevel="0" collapsed="false">
      <c r="A32" s="30"/>
      <c r="B32" s="43"/>
      <c r="C32" s="30"/>
      <c r="D32" s="30"/>
      <c r="E32" s="30"/>
      <c r="F32" s="30"/>
      <c r="G32" s="41"/>
      <c r="H32" s="41"/>
      <c r="I32" s="41"/>
      <c r="J32" s="41"/>
      <c r="K32" s="27"/>
      <c r="L32" s="30"/>
      <c r="M32" s="30"/>
      <c r="N32" s="30"/>
      <c r="O32" s="30"/>
      <c r="P32" s="30"/>
    </row>
    <row r="33" customFormat="false" ht="15" hidden="false" customHeight="false" outlineLevel="0" collapsed="false">
      <c r="A33" s="30"/>
      <c r="B33" s="43"/>
      <c r="C33" s="30"/>
      <c r="D33" s="30"/>
      <c r="E33" s="30"/>
      <c r="F33" s="30"/>
      <c r="G33" s="41"/>
      <c r="H33" s="41"/>
      <c r="I33" s="41"/>
      <c r="J33" s="41"/>
      <c r="K33" s="27"/>
      <c r="L33" s="30"/>
      <c r="M33" s="30"/>
      <c r="N33" s="30"/>
      <c r="O33" s="30"/>
      <c r="P33" s="30"/>
    </row>
    <row r="34" customFormat="false" ht="15" hidden="false" customHeight="false" outlineLevel="0" collapsed="false">
      <c r="A34" s="30"/>
      <c r="B34" s="43"/>
      <c r="C34" s="30"/>
      <c r="D34" s="30"/>
      <c r="E34" s="30"/>
      <c r="F34" s="30"/>
      <c r="G34" s="41"/>
      <c r="H34" s="41"/>
      <c r="I34" s="41"/>
      <c r="J34" s="41"/>
      <c r="K34" s="27"/>
      <c r="L34" s="30"/>
      <c r="M34" s="30"/>
      <c r="N34" s="30"/>
      <c r="O34" s="30"/>
      <c r="P34" s="30"/>
    </row>
    <row r="35" customFormat="false" ht="15" hidden="false" customHeight="false" outlineLevel="0" collapsed="false">
      <c r="A35" s="30"/>
      <c r="B35" s="43"/>
      <c r="C35" s="30"/>
      <c r="D35" s="30"/>
      <c r="E35" s="30"/>
      <c r="F35" s="30"/>
      <c r="G35" s="41"/>
      <c r="H35" s="41"/>
      <c r="I35" s="41"/>
      <c r="J35" s="41"/>
      <c r="K35" s="27"/>
      <c r="L35" s="30"/>
      <c r="M35" s="30"/>
      <c r="N35" s="30"/>
      <c r="O35" s="30"/>
      <c r="P35" s="30"/>
    </row>
    <row r="36" customFormat="false" ht="15" hidden="false" customHeight="false" outlineLevel="0" collapsed="false">
      <c r="A36" s="30"/>
      <c r="B36" s="43"/>
      <c r="C36" s="30"/>
      <c r="D36" s="30"/>
      <c r="E36" s="30"/>
      <c r="F36" s="30"/>
      <c r="G36" s="41"/>
      <c r="H36" s="41"/>
      <c r="I36" s="41"/>
      <c r="J36" s="41"/>
      <c r="K36" s="27"/>
      <c r="L36" s="30"/>
      <c r="M36" s="30"/>
      <c r="N36" s="30"/>
      <c r="O36" s="30"/>
      <c r="P36" s="30"/>
    </row>
    <row r="37" customFormat="false" ht="15" hidden="false" customHeight="false" outlineLevel="0" collapsed="false">
      <c r="A37" s="30"/>
      <c r="B37" s="43"/>
      <c r="C37" s="30"/>
      <c r="D37" s="30"/>
      <c r="E37" s="30"/>
      <c r="F37" s="30"/>
      <c r="G37" s="41"/>
      <c r="H37" s="41"/>
      <c r="I37" s="41"/>
      <c r="J37" s="41"/>
      <c r="K37" s="27"/>
      <c r="L37" s="30"/>
      <c r="M37" s="30"/>
      <c r="N37" s="30"/>
      <c r="O37" s="30"/>
      <c r="P37" s="30"/>
    </row>
    <row r="38" customFormat="false" ht="15" hidden="false" customHeight="false" outlineLevel="0" collapsed="false">
      <c r="A38" s="30"/>
      <c r="B38" s="43"/>
      <c r="C38" s="30"/>
      <c r="D38" s="30"/>
      <c r="E38" s="30"/>
      <c r="F38" s="30"/>
      <c r="G38" s="41"/>
      <c r="H38" s="41"/>
      <c r="I38" s="41"/>
      <c r="J38" s="41"/>
      <c r="K38" s="27"/>
      <c r="L38" s="30"/>
      <c r="M38" s="30"/>
      <c r="N38" s="30"/>
      <c r="O38" s="30"/>
      <c r="P38" s="30"/>
    </row>
    <row r="39" customFormat="false" ht="15" hidden="false" customHeight="false" outlineLevel="0" collapsed="false">
      <c r="A39" s="30"/>
      <c r="B39" s="43"/>
      <c r="C39" s="30"/>
      <c r="D39" s="30"/>
      <c r="E39" s="30"/>
      <c r="F39" s="30"/>
      <c r="G39" s="41"/>
      <c r="H39" s="41"/>
      <c r="I39" s="41"/>
      <c r="J39" s="41"/>
      <c r="K39" s="27"/>
      <c r="L39" s="30"/>
      <c r="M39" s="30"/>
      <c r="N39" s="30"/>
      <c r="O39" s="30"/>
      <c r="P39" s="30"/>
    </row>
    <row r="40" customFormat="false" ht="15" hidden="false" customHeight="false" outlineLevel="0" collapsed="false">
      <c r="A40" s="30"/>
      <c r="B40" s="43"/>
      <c r="C40" s="30"/>
      <c r="D40" s="30"/>
      <c r="E40" s="30"/>
      <c r="F40" s="30"/>
      <c r="G40" s="41"/>
      <c r="H40" s="41"/>
      <c r="I40" s="41"/>
      <c r="J40" s="41"/>
      <c r="K40" s="27"/>
      <c r="L40" s="30"/>
      <c r="M40" s="30"/>
      <c r="N40" s="30"/>
      <c r="O40" s="30"/>
      <c r="P40" s="30"/>
    </row>
    <row r="41" customFormat="false" ht="15" hidden="false" customHeight="false" outlineLevel="0" collapsed="false">
      <c r="A41" s="30"/>
      <c r="B41" s="43"/>
      <c r="C41" s="30"/>
      <c r="D41" s="30"/>
      <c r="E41" s="30"/>
      <c r="F41" s="30"/>
      <c r="G41" s="41"/>
      <c r="H41" s="41"/>
      <c r="I41" s="41"/>
      <c r="J41" s="41"/>
      <c r="K41" s="27"/>
      <c r="L41" s="30"/>
      <c r="M41" s="30"/>
      <c r="N41" s="30"/>
      <c r="O41" s="30"/>
      <c r="P41" s="30"/>
    </row>
    <row r="42" customFormat="false" ht="15" hidden="false" customHeight="false" outlineLevel="0" collapsed="false">
      <c r="A42" s="30"/>
      <c r="B42" s="43"/>
      <c r="C42" s="30"/>
      <c r="D42" s="30"/>
      <c r="E42" s="30"/>
      <c r="F42" s="30"/>
      <c r="G42" s="41"/>
      <c r="H42" s="41"/>
      <c r="I42" s="41"/>
      <c r="J42" s="41"/>
      <c r="K42" s="27"/>
      <c r="L42" s="30"/>
      <c r="M42" s="30"/>
      <c r="N42" s="30"/>
      <c r="O42" s="30"/>
      <c r="P42" s="30"/>
    </row>
    <row r="43" customFormat="false" ht="15" hidden="false" customHeight="false" outlineLevel="0" collapsed="false">
      <c r="A43" s="30"/>
      <c r="B43" s="43"/>
      <c r="C43" s="30"/>
      <c r="D43" s="30"/>
      <c r="E43" s="30"/>
      <c r="F43" s="30"/>
      <c r="G43" s="41"/>
      <c r="H43" s="41"/>
      <c r="I43" s="41"/>
      <c r="J43" s="41"/>
      <c r="K43" s="27"/>
      <c r="L43" s="30"/>
      <c r="M43" s="30"/>
      <c r="N43" s="30"/>
      <c r="O43" s="30"/>
      <c r="P43" s="30"/>
    </row>
    <row r="44" customFormat="false" ht="15" hidden="false" customHeight="false" outlineLevel="0" collapsed="false">
      <c r="A44" s="30"/>
      <c r="B44" s="43"/>
      <c r="C44" s="30"/>
      <c r="D44" s="30"/>
      <c r="E44" s="30"/>
      <c r="F44" s="30"/>
      <c r="G44" s="41"/>
      <c r="H44" s="41"/>
      <c r="I44" s="41"/>
      <c r="J44" s="41"/>
      <c r="K44" s="27"/>
      <c r="L44" s="30"/>
      <c r="M44" s="30"/>
      <c r="N44" s="30"/>
      <c r="O44" s="30"/>
      <c r="P44" s="30"/>
    </row>
    <row r="45" customFormat="false" ht="15" hidden="false" customHeight="false" outlineLevel="0" collapsed="false">
      <c r="A45" s="30"/>
      <c r="B45" s="43"/>
      <c r="C45" s="30"/>
      <c r="D45" s="30"/>
      <c r="E45" s="30"/>
      <c r="F45" s="30"/>
      <c r="G45" s="41"/>
      <c r="H45" s="41"/>
      <c r="I45" s="41"/>
      <c r="J45" s="41"/>
      <c r="K45" s="27"/>
      <c r="L45" s="30"/>
      <c r="M45" s="30"/>
      <c r="N45" s="30"/>
      <c r="O45" s="30"/>
      <c r="P45" s="30"/>
    </row>
    <row r="46" customFormat="false" ht="15" hidden="false" customHeight="false" outlineLevel="0" collapsed="false">
      <c r="A46" s="30"/>
      <c r="B46" s="43"/>
      <c r="C46" s="30"/>
      <c r="D46" s="30"/>
      <c r="E46" s="30"/>
      <c r="F46" s="30"/>
      <c r="G46" s="41"/>
      <c r="H46" s="41"/>
      <c r="I46" s="41"/>
      <c r="J46" s="41"/>
      <c r="K46" s="27"/>
      <c r="L46" s="30"/>
      <c r="M46" s="30"/>
      <c r="N46" s="30"/>
      <c r="O46" s="30"/>
      <c r="P46" s="30"/>
    </row>
    <row r="47" customFormat="false" ht="15" hidden="false" customHeight="false" outlineLevel="0" collapsed="false">
      <c r="A47" s="30"/>
      <c r="B47" s="43"/>
      <c r="C47" s="30"/>
      <c r="D47" s="30"/>
      <c r="E47" s="30"/>
      <c r="F47" s="30"/>
      <c r="G47" s="41"/>
      <c r="H47" s="41"/>
      <c r="I47" s="41"/>
      <c r="J47" s="41"/>
      <c r="K47" s="27"/>
      <c r="L47" s="30"/>
      <c r="M47" s="30"/>
      <c r="N47" s="30"/>
      <c r="O47" s="30"/>
      <c r="P47" s="30"/>
    </row>
    <row r="48" customFormat="false" ht="15" hidden="false" customHeight="false" outlineLevel="0" collapsed="false">
      <c r="A48" s="30"/>
      <c r="B48" s="43"/>
      <c r="C48" s="30"/>
      <c r="D48" s="30"/>
      <c r="E48" s="30"/>
      <c r="F48" s="30"/>
      <c r="G48" s="41"/>
      <c r="H48" s="41"/>
      <c r="I48" s="41"/>
      <c r="J48" s="41"/>
      <c r="K48" s="27"/>
      <c r="L48" s="30"/>
      <c r="M48" s="30"/>
      <c r="N48" s="30"/>
      <c r="O48" s="30"/>
      <c r="P48" s="30"/>
    </row>
    <row r="49" customFormat="false" ht="15" hidden="false" customHeight="false" outlineLevel="0" collapsed="false">
      <c r="A49" s="30"/>
      <c r="B49" s="43"/>
      <c r="C49" s="30"/>
      <c r="D49" s="30"/>
      <c r="E49" s="30"/>
      <c r="F49" s="30"/>
      <c r="G49" s="41"/>
      <c r="H49" s="41"/>
      <c r="I49" s="41"/>
      <c r="J49" s="41"/>
      <c r="K49" s="27"/>
      <c r="L49" s="30"/>
      <c r="M49" s="30"/>
      <c r="N49" s="30"/>
      <c r="O49" s="30"/>
      <c r="P49" s="30"/>
    </row>
    <row r="50" customFormat="false" ht="15" hidden="false" customHeight="false" outlineLevel="0" collapsed="false">
      <c r="A50" s="30"/>
      <c r="B50" s="43"/>
      <c r="C50" s="30"/>
      <c r="D50" s="30"/>
      <c r="E50" s="30"/>
      <c r="F50" s="30"/>
      <c r="G50" s="41"/>
      <c r="H50" s="41"/>
      <c r="I50" s="41"/>
      <c r="J50" s="41"/>
      <c r="K50" s="27"/>
      <c r="L50" s="30"/>
      <c r="M50" s="30"/>
      <c r="N50" s="30"/>
      <c r="O50" s="30"/>
      <c r="P50" s="30"/>
    </row>
    <row r="51" customFormat="false" ht="15" hidden="false" customHeight="false" outlineLevel="0" collapsed="false">
      <c r="A51" s="30"/>
      <c r="B51" s="43"/>
      <c r="C51" s="30"/>
      <c r="D51" s="30"/>
      <c r="E51" s="30"/>
      <c r="F51" s="30"/>
      <c r="G51" s="41"/>
      <c r="H51" s="41"/>
      <c r="I51" s="41"/>
      <c r="J51" s="41"/>
      <c r="K51" s="27"/>
      <c r="L51" s="30"/>
      <c r="M51" s="30"/>
      <c r="N51" s="30"/>
      <c r="O51" s="30"/>
      <c r="P51" s="30"/>
    </row>
    <row r="52" customFormat="false" ht="15" hidden="false" customHeight="false" outlineLevel="0" collapsed="false">
      <c r="A52" s="30"/>
      <c r="B52" s="43"/>
      <c r="C52" s="30"/>
      <c r="D52" s="30"/>
      <c r="E52" s="30"/>
      <c r="F52" s="30"/>
      <c r="G52" s="41"/>
      <c r="H52" s="41"/>
      <c r="I52" s="41"/>
      <c r="J52" s="41"/>
      <c r="K52" s="27"/>
      <c r="L52" s="30"/>
      <c r="M52" s="30"/>
      <c r="N52" s="30"/>
      <c r="O52" s="30"/>
      <c r="P52" s="30"/>
    </row>
    <row r="53" customFormat="false" ht="15" hidden="false" customHeight="false" outlineLevel="0" collapsed="false">
      <c r="A53" s="30"/>
      <c r="B53" s="43"/>
      <c r="C53" s="30"/>
      <c r="D53" s="30"/>
      <c r="E53" s="30"/>
      <c r="F53" s="30"/>
      <c r="G53" s="41"/>
      <c r="H53" s="41"/>
      <c r="I53" s="41"/>
      <c r="J53" s="41"/>
      <c r="K53" s="27"/>
      <c r="L53" s="30"/>
      <c r="M53" s="30"/>
      <c r="N53" s="30"/>
      <c r="O53" s="30"/>
      <c r="P53" s="30"/>
    </row>
    <row r="54" customFormat="false" ht="15" hidden="false" customHeight="false" outlineLevel="0" collapsed="false">
      <c r="A54" s="30"/>
      <c r="B54" s="43"/>
      <c r="C54" s="30"/>
      <c r="D54" s="30"/>
      <c r="E54" s="30"/>
      <c r="F54" s="30"/>
      <c r="G54" s="41"/>
      <c r="H54" s="41"/>
      <c r="I54" s="41"/>
      <c r="J54" s="41"/>
      <c r="K54" s="27"/>
      <c r="L54" s="30"/>
      <c r="M54" s="30"/>
      <c r="N54" s="30"/>
      <c r="O54" s="30"/>
      <c r="P54" s="30"/>
    </row>
    <row r="55" customFormat="false" ht="15" hidden="false" customHeight="false" outlineLevel="0" collapsed="false">
      <c r="A55" s="30"/>
      <c r="B55" s="43"/>
      <c r="C55" s="30"/>
      <c r="D55" s="30"/>
      <c r="E55" s="30"/>
      <c r="F55" s="30"/>
      <c r="G55" s="41"/>
      <c r="H55" s="41"/>
      <c r="I55" s="41"/>
      <c r="J55" s="41"/>
      <c r="K55" s="27"/>
      <c r="L55" s="30"/>
      <c r="M55" s="30"/>
      <c r="N55" s="30"/>
      <c r="O55" s="30"/>
      <c r="P55" s="30"/>
    </row>
    <row r="56" customFormat="false" ht="15" hidden="false" customHeight="false" outlineLevel="0" collapsed="false">
      <c r="A56" s="30"/>
      <c r="B56" s="43"/>
      <c r="C56" s="30"/>
      <c r="D56" s="30"/>
      <c r="E56" s="30"/>
      <c r="F56" s="30"/>
      <c r="G56" s="41"/>
      <c r="H56" s="41"/>
      <c r="I56" s="41"/>
      <c r="J56" s="41"/>
      <c r="K56" s="27"/>
      <c r="L56" s="30"/>
      <c r="M56" s="30"/>
      <c r="N56" s="30"/>
      <c r="O56" s="30"/>
      <c r="P56" s="30"/>
    </row>
    <row r="57" customFormat="false" ht="15" hidden="false" customHeight="false" outlineLevel="0" collapsed="false">
      <c r="A57" s="30"/>
      <c r="B57" s="43"/>
      <c r="C57" s="30"/>
      <c r="D57" s="30"/>
      <c r="E57" s="30"/>
      <c r="F57" s="30"/>
      <c r="G57" s="41"/>
      <c r="H57" s="41"/>
      <c r="I57" s="41"/>
      <c r="J57" s="41"/>
      <c r="K57" s="27"/>
      <c r="L57" s="30"/>
      <c r="M57" s="30"/>
      <c r="N57" s="30"/>
      <c r="O57" s="30"/>
      <c r="P57" s="30"/>
    </row>
    <row r="58" customFormat="false" ht="15" hidden="false" customHeight="false" outlineLevel="0" collapsed="false">
      <c r="A58" s="30"/>
      <c r="B58" s="43"/>
      <c r="C58" s="30"/>
      <c r="D58" s="30"/>
      <c r="E58" s="30"/>
      <c r="F58" s="30"/>
      <c r="G58" s="41"/>
      <c r="H58" s="41"/>
      <c r="I58" s="41"/>
      <c r="J58" s="41"/>
      <c r="K58" s="27"/>
      <c r="L58" s="30"/>
      <c r="M58" s="30"/>
      <c r="N58" s="30"/>
      <c r="O58" s="30"/>
      <c r="P58" s="30"/>
    </row>
    <row r="59" customFormat="false" ht="15" hidden="false" customHeight="false" outlineLevel="0" collapsed="false">
      <c r="A59" s="30"/>
      <c r="B59" s="43"/>
      <c r="C59" s="30"/>
      <c r="D59" s="30"/>
      <c r="E59" s="30"/>
      <c r="F59" s="30"/>
      <c r="G59" s="41"/>
      <c r="H59" s="41"/>
      <c r="I59" s="41"/>
      <c r="J59" s="41"/>
      <c r="K59" s="27"/>
      <c r="L59" s="30"/>
      <c r="M59" s="30"/>
      <c r="N59" s="30"/>
      <c r="O59" s="30"/>
      <c r="P59" s="30"/>
    </row>
    <row r="60" customFormat="false" ht="15" hidden="false" customHeight="false" outlineLevel="0" collapsed="false">
      <c r="A60" s="30"/>
      <c r="B60" s="43"/>
      <c r="C60" s="30"/>
      <c r="D60" s="30"/>
      <c r="E60" s="30"/>
      <c r="F60" s="30"/>
      <c r="G60" s="41"/>
      <c r="H60" s="41"/>
      <c r="I60" s="41"/>
      <c r="J60" s="41"/>
      <c r="K60" s="27"/>
      <c r="L60" s="30"/>
      <c r="M60" s="30"/>
      <c r="N60" s="30"/>
      <c r="O60" s="30"/>
      <c r="P60" s="30"/>
    </row>
    <row r="61" customFormat="false" ht="15" hidden="false" customHeight="false" outlineLevel="0" collapsed="false">
      <c r="A61" s="30"/>
      <c r="B61" s="43"/>
      <c r="C61" s="30"/>
      <c r="D61" s="30"/>
      <c r="E61" s="30"/>
      <c r="F61" s="30"/>
      <c r="G61" s="41"/>
      <c r="H61" s="41"/>
      <c r="I61" s="41"/>
      <c r="J61" s="41"/>
      <c r="K61" s="27"/>
      <c r="L61" s="30"/>
      <c r="M61" s="30"/>
      <c r="N61" s="30"/>
      <c r="O61" s="30"/>
      <c r="P61" s="30"/>
    </row>
    <row r="62" customFormat="false" ht="15" hidden="false" customHeight="false" outlineLevel="0" collapsed="false">
      <c r="A62" s="30"/>
      <c r="B62" s="43"/>
      <c r="C62" s="30"/>
      <c r="D62" s="30"/>
      <c r="E62" s="30"/>
      <c r="F62" s="30"/>
      <c r="G62" s="41"/>
      <c r="H62" s="41"/>
      <c r="I62" s="41"/>
      <c r="J62" s="41"/>
      <c r="K62" s="27"/>
      <c r="L62" s="30"/>
      <c r="M62" s="30"/>
      <c r="N62" s="30"/>
      <c r="O62" s="30"/>
      <c r="P62" s="30"/>
    </row>
    <row r="63" customFormat="false" ht="15" hidden="false" customHeight="false" outlineLevel="0" collapsed="false">
      <c r="A63" s="30"/>
      <c r="B63" s="43"/>
      <c r="C63" s="30"/>
      <c r="D63" s="30"/>
      <c r="E63" s="30"/>
      <c r="F63" s="30"/>
      <c r="G63" s="41"/>
      <c r="H63" s="41"/>
      <c r="I63" s="41"/>
      <c r="J63" s="41"/>
      <c r="K63" s="27"/>
      <c r="L63" s="30"/>
      <c r="M63" s="30"/>
      <c r="N63" s="30"/>
      <c r="O63" s="30"/>
      <c r="P63" s="30"/>
    </row>
    <row r="64" customFormat="false" ht="15" hidden="false" customHeight="false" outlineLevel="0" collapsed="false">
      <c r="A64" s="30"/>
      <c r="B64" s="43"/>
      <c r="C64" s="30"/>
      <c r="D64" s="30"/>
      <c r="E64" s="30"/>
      <c r="F64" s="30"/>
      <c r="G64" s="41"/>
      <c r="H64" s="41"/>
      <c r="I64" s="41"/>
      <c r="J64" s="41"/>
      <c r="K64" s="27"/>
      <c r="L64" s="30"/>
      <c r="M64" s="30"/>
      <c r="N64" s="30"/>
      <c r="O64" s="30"/>
      <c r="P64" s="30"/>
    </row>
    <row r="65" customFormat="false" ht="15" hidden="false" customHeight="false" outlineLevel="0" collapsed="false">
      <c r="A65" s="30"/>
      <c r="B65" s="43"/>
      <c r="C65" s="30"/>
      <c r="D65" s="30"/>
      <c r="E65" s="30"/>
      <c r="F65" s="30"/>
      <c r="G65" s="41"/>
      <c r="H65" s="41"/>
      <c r="I65" s="41"/>
      <c r="J65" s="41"/>
      <c r="K65" s="27"/>
      <c r="L65" s="30"/>
      <c r="M65" s="30"/>
      <c r="N65" s="30"/>
      <c r="O65" s="30"/>
      <c r="P65" s="30"/>
    </row>
    <row r="66" customFormat="false" ht="15" hidden="false" customHeight="false" outlineLevel="0" collapsed="false">
      <c r="A66" s="30"/>
      <c r="B66" s="43"/>
      <c r="C66" s="30"/>
      <c r="D66" s="30"/>
      <c r="E66" s="30"/>
      <c r="F66" s="30"/>
      <c r="G66" s="41"/>
      <c r="H66" s="41"/>
      <c r="I66" s="41"/>
      <c r="J66" s="41"/>
      <c r="K66" s="27"/>
      <c r="L66" s="30"/>
      <c r="M66" s="30"/>
      <c r="N66" s="30"/>
      <c r="O66" s="30"/>
      <c r="P66" s="30"/>
    </row>
    <row r="67" customFormat="false" ht="15" hidden="false" customHeight="false" outlineLevel="0" collapsed="false">
      <c r="A67" s="30"/>
      <c r="B67" s="43"/>
      <c r="C67" s="30"/>
      <c r="D67" s="30"/>
      <c r="E67" s="30"/>
      <c r="F67" s="30"/>
      <c r="G67" s="41"/>
      <c r="H67" s="41"/>
      <c r="I67" s="41"/>
      <c r="J67" s="41"/>
      <c r="K67" s="27"/>
      <c r="L67" s="30"/>
      <c r="M67" s="30"/>
      <c r="N67" s="30"/>
      <c r="O67" s="30"/>
      <c r="P67" s="30"/>
    </row>
    <row r="68" customFormat="false" ht="15" hidden="false" customHeight="false" outlineLevel="0" collapsed="false">
      <c r="A68" s="30"/>
      <c r="B68" s="43"/>
      <c r="C68" s="30"/>
      <c r="D68" s="30"/>
      <c r="E68" s="30"/>
      <c r="F68" s="30"/>
      <c r="G68" s="41"/>
      <c r="H68" s="41"/>
      <c r="I68" s="41"/>
      <c r="J68" s="41"/>
      <c r="K68" s="27"/>
      <c r="L68" s="30"/>
      <c r="M68" s="30"/>
      <c r="N68" s="30"/>
      <c r="O68" s="30"/>
      <c r="P68" s="30"/>
    </row>
    <row r="69" customFormat="false" ht="15" hidden="false" customHeight="false" outlineLevel="0" collapsed="false">
      <c r="A69" s="30"/>
      <c r="B69" s="43"/>
      <c r="C69" s="30"/>
      <c r="D69" s="30"/>
      <c r="E69" s="30"/>
      <c r="F69" s="30"/>
      <c r="G69" s="41"/>
      <c r="H69" s="41"/>
      <c r="I69" s="41"/>
      <c r="J69" s="41"/>
      <c r="K69" s="27"/>
      <c r="L69" s="30"/>
      <c r="M69" s="30"/>
      <c r="N69" s="30"/>
      <c r="O69" s="30"/>
      <c r="P69" s="30"/>
    </row>
    <row r="70" customFormat="false" ht="15" hidden="false" customHeight="false" outlineLevel="0" collapsed="false">
      <c r="A70" s="30"/>
      <c r="B70" s="43"/>
      <c r="C70" s="30"/>
      <c r="D70" s="30"/>
      <c r="E70" s="30"/>
      <c r="F70" s="30"/>
      <c r="G70" s="41"/>
      <c r="H70" s="41"/>
      <c r="I70" s="41"/>
      <c r="J70" s="41"/>
      <c r="K70" s="27"/>
      <c r="L70" s="30"/>
      <c r="M70" s="30"/>
      <c r="N70" s="30"/>
      <c r="O70" s="30"/>
      <c r="P70" s="30"/>
    </row>
    <row r="71" customFormat="false" ht="15" hidden="false" customHeight="false" outlineLevel="0" collapsed="false">
      <c r="A71" s="30"/>
      <c r="B71" s="43"/>
      <c r="C71" s="30"/>
      <c r="D71" s="30"/>
      <c r="E71" s="30"/>
      <c r="F71" s="30"/>
      <c r="G71" s="41"/>
      <c r="H71" s="41"/>
      <c r="I71" s="41"/>
      <c r="J71" s="41"/>
      <c r="K71" s="27"/>
      <c r="L71" s="30"/>
      <c r="M71" s="30"/>
      <c r="N71" s="30"/>
      <c r="O71" s="30"/>
      <c r="P71" s="30"/>
    </row>
    <row r="72" customFormat="false" ht="15" hidden="false" customHeight="false" outlineLevel="0" collapsed="false">
      <c r="A72" s="30"/>
      <c r="B72" s="43"/>
      <c r="C72" s="30"/>
      <c r="D72" s="30"/>
      <c r="E72" s="30"/>
      <c r="F72" s="30"/>
      <c r="G72" s="41"/>
      <c r="H72" s="41"/>
      <c r="I72" s="41"/>
      <c r="J72" s="41"/>
      <c r="K72" s="27"/>
      <c r="L72" s="30"/>
      <c r="M72" s="30"/>
      <c r="N72" s="30"/>
      <c r="O72" s="30"/>
      <c r="P72" s="30"/>
    </row>
    <row r="73" customFormat="false" ht="15" hidden="false" customHeight="false" outlineLevel="0" collapsed="false">
      <c r="A73" s="30"/>
      <c r="B73" s="43"/>
      <c r="C73" s="30"/>
      <c r="D73" s="30"/>
      <c r="E73" s="30"/>
      <c r="F73" s="30"/>
      <c r="G73" s="41"/>
      <c r="H73" s="41"/>
      <c r="I73" s="41"/>
      <c r="J73" s="41"/>
      <c r="K73" s="27"/>
      <c r="L73" s="30"/>
      <c r="M73" s="30"/>
      <c r="N73" s="30"/>
      <c r="O73" s="30"/>
      <c r="P73" s="30"/>
    </row>
    <row r="74" customFormat="false" ht="15" hidden="false" customHeight="false" outlineLevel="0" collapsed="false">
      <c r="A74" s="30"/>
      <c r="B74" s="43"/>
      <c r="C74" s="30"/>
      <c r="D74" s="30"/>
      <c r="E74" s="30"/>
      <c r="F74" s="30"/>
      <c r="G74" s="41"/>
      <c r="H74" s="41"/>
      <c r="I74" s="41"/>
      <c r="J74" s="41"/>
      <c r="K74" s="27"/>
      <c r="L74" s="30"/>
      <c r="M74" s="30"/>
      <c r="N74" s="30"/>
      <c r="O74" s="30"/>
      <c r="P74" s="30"/>
    </row>
    <row r="75" customFormat="false" ht="15" hidden="false" customHeight="false" outlineLevel="0" collapsed="false">
      <c r="A75" s="30"/>
      <c r="B75" s="43"/>
      <c r="C75" s="30"/>
      <c r="D75" s="30"/>
      <c r="E75" s="30"/>
      <c r="F75" s="30"/>
      <c r="G75" s="41"/>
      <c r="H75" s="41"/>
      <c r="I75" s="41"/>
      <c r="J75" s="41"/>
      <c r="K75" s="27"/>
      <c r="L75" s="30"/>
      <c r="M75" s="30"/>
      <c r="N75" s="30"/>
      <c r="O75" s="30"/>
      <c r="P75" s="30"/>
    </row>
    <row r="76" customFormat="false" ht="15" hidden="false" customHeight="false" outlineLevel="0" collapsed="false">
      <c r="A76" s="30"/>
      <c r="B76" s="43"/>
      <c r="C76" s="30"/>
      <c r="D76" s="30"/>
      <c r="E76" s="30"/>
      <c r="F76" s="30"/>
      <c r="G76" s="41"/>
      <c r="H76" s="41"/>
      <c r="I76" s="41"/>
      <c r="J76" s="41"/>
      <c r="K76" s="27"/>
      <c r="L76" s="30"/>
      <c r="M76" s="30"/>
      <c r="N76" s="30"/>
      <c r="O76" s="30"/>
      <c r="P76" s="30"/>
    </row>
    <row r="77" customFormat="false" ht="15" hidden="false" customHeight="false" outlineLevel="0" collapsed="false">
      <c r="A77" s="30"/>
      <c r="B77" s="43"/>
      <c r="C77" s="30"/>
      <c r="D77" s="30"/>
      <c r="E77" s="30"/>
      <c r="F77" s="30"/>
      <c r="G77" s="41"/>
      <c r="H77" s="41"/>
      <c r="I77" s="41"/>
      <c r="J77" s="41"/>
      <c r="K77" s="27"/>
      <c r="L77" s="30"/>
      <c r="M77" s="30"/>
      <c r="N77" s="30"/>
      <c r="O77" s="30"/>
      <c r="P77" s="30"/>
    </row>
    <row r="78" customFormat="false" ht="15" hidden="false" customHeight="false" outlineLevel="0" collapsed="false">
      <c r="A78" s="30"/>
      <c r="B78" s="43"/>
      <c r="C78" s="30"/>
      <c r="D78" s="30"/>
      <c r="E78" s="30"/>
      <c r="F78" s="30"/>
      <c r="G78" s="41"/>
      <c r="H78" s="41"/>
      <c r="I78" s="41"/>
      <c r="J78" s="41"/>
      <c r="K78" s="27"/>
      <c r="L78" s="30"/>
      <c r="M78" s="30"/>
      <c r="N78" s="30"/>
      <c r="O78" s="30"/>
      <c r="P78" s="30"/>
    </row>
    <row r="79" customFormat="false" ht="15" hidden="false" customHeight="false" outlineLevel="0" collapsed="false">
      <c r="A79" s="30"/>
      <c r="B79" s="43"/>
      <c r="C79" s="30"/>
      <c r="D79" s="30"/>
      <c r="E79" s="30"/>
      <c r="F79" s="30"/>
      <c r="G79" s="41"/>
      <c r="H79" s="41"/>
      <c r="I79" s="41"/>
      <c r="J79" s="41"/>
      <c r="K79" s="27"/>
      <c r="L79" s="30"/>
      <c r="M79" s="30"/>
      <c r="N79" s="30"/>
      <c r="O79" s="30"/>
      <c r="P79" s="30"/>
    </row>
    <row r="80" customFormat="false" ht="15" hidden="false" customHeight="false" outlineLevel="0" collapsed="false">
      <c r="A80" s="30"/>
      <c r="B80" s="43"/>
      <c r="C80" s="30"/>
      <c r="D80" s="30"/>
      <c r="E80" s="30"/>
      <c r="F80" s="30"/>
      <c r="G80" s="41"/>
      <c r="H80" s="41"/>
      <c r="I80" s="41"/>
      <c r="J80" s="41"/>
      <c r="K80" s="27"/>
      <c r="L80" s="30"/>
      <c r="M80" s="30"/>
      <c r="N80" s="30"/>
      <c r="O80" s="30"/>
      <c r="P80" s="30"/>
    </row>
    <row r="81" customFormat="false" ht="15" hidden="false" customHeight="false" outlineLevel="0" collapsed="false">
      <c r="A81" s="30"/>
      <c r="B81" s="43"/>
      <c r="C81" s="30"/>
      <c r="D81" s="30"/>
      <c r="E81" s="30"/>
      <c r="F81" s="30"/>
      <c r="G81" s="41"/>
      <c r="H81" s="41"/>
      <c r="I81" s="41"/>
      <c r="J81" s="41"/>
      <c r="K81" s="27"/>
      <c r="L81" s="30"/>
      <c r="M81" s="30"/>
      <c r="N81" s="30"/>
      <c r="O81" s="30"/>
      <c r="P81" s="30"/>
    </row>
    <row r="82" customFormat="false" ht="15" hidden="false" customHeight="false" outlineLevel="0" collapsed="false">
      <c r="A82" s="30"/>
      <c r="B82" s="43"/>
      <c r="C82" s="30"/>
      <c r="D82" s="30"/>
      <c r="E82" s="30"/>
      <c r="F82" s="30"/>
      <c r="G82" s="41"/>
      <c r="H82" s="41"/>
      <c r="I82" s="41"/>
      <c r="J82" s="41"/>
      <c r="K82" s="27"/>
      <c r="L82" s="30"/>
      <c r="M82" s="30"/>
      <c r="N82" s="30"/>
      <c r="O82" s="30"/>
      <c r="P82" s="30"/>
    </row>
    <row r="83" customFormat="false" ht="15" hidden="false" customHeight="false" outlineLevel="0" collapsed="false">
      <c r="A83" s="30"/>
      <c r="B83" s="43"/>
      <c r="C83" s="30"/>
      <c r="D83" s="30"/>
      <c r="E83" s="30"/>
      <c r="F83" s="30"/>
      <c r="G83" s="41"/>
      <c r="H83" s="41"/>
      <c r="I83" s="41"/>
      <c r="J83" s="41"/>
      <c r="K83" s="27"/>
      <c r="L83" s="30"/>
      <c r="M83" s="30"/>
      <c r="N83" s="30"/>
      <c r="O83" s="30"/>
      <c r="P83" s="30"/>
    </row>
    <row r="84" customFormat="false" ht="15" hidden="false" customHeight="false" outlineLevel="0" collapsed="false">
      <c r="A84" s="30"/>
      <c r="B84" s="43"/>
      <c r="C84" s="30"/>
      <c r="D84" s="30"/>
      <c r="E84" s="30"/>
      <c r="F84" s="30"/>
      <c r="G84" s="41"/>
      <c r="H84" s="41"/>
      <c r="I84" s="41"/>
      <c r="J84" s="41"/>
      <c r="K84" s="27"/>
      <c r="L84" s="30"/>
      <c r="M84" s="30"/>
      <c r="N84" s="30"/>
      <c r="O84" s="30"/>
      <c r="P84" s="30"/>
    </row>
    <row r="85" customFormat="false" ht="15" hidden="false" customHeight="false" outlineLevel="0" collapsed="false">
      <c r="A85" s="30"/>
      <c r="B85" s="43"/>
      <c r="C85" s="30"/>
      <c r="D85" s="30"/>
      <c r="E85" s="30"/>
      <c r="F85" s="30"/>
      <c r="G85" s="41"/>
      <c r="H85" s="41"/>
      <c r="I85" s="41"/>
      <c r="J85" s="41"/>
      <c r="K85" s="27"/>
      <c r="L85" s="30"/>
      <c r="M85" s="30"/>
      <c r="N85" s="30"/>
      <c r="O85" s="30"/>
      <c r="P85" s="30"/>
    </row>
    <row r="86" customFormat="false" ht="15" hidden="false" customHeight="false" outlineLevel="0" collapsed="false">
      <c r="A86" s="30"/>
      <c r="B86" s="43"/>
      <c r="C86" s="30"/>
      <c r="D86" s="30"/>
      <c r="E86" s="30"/>
      <c r="F86" s="30"/>
      <c r="G86" s="41"/>
      <c r="H86" s="41"/>
      <c r="I86" s="41"/>
      <c r="J86" s="41"/>
      <c r="K86" s="27"/>
      <c r="L86" s="30"/>
      <c r="M86" s="30"/>
      <c r="N86" s="30"/>
      <c r="O86" s="30"/>
      <c r="P86" s="30"/>
    </row>
    <row r="87" customFormat="false" ht="15" hidden="false" customHeight="false" outlineLevel="0" collapsed="false">
      <c r="A87" s="30"/>
      <c r="B87" s="43"/>
      <c r="C87" s="30"/>
      <c r="D87" s="30"/>
      <c r="E87" s="30"/>
      <c r="F87" s="30"/>
      <c r="G87" s="41"/>
      <c r="H87" s="41"/>
      <c r="I87" s="41"/>
      <c r="J87" s="41"/>
      <c r="K87" s="27"/>
      <c r="L87" s="30"/>
      <c r="M87" s="30"/>
      <c r="N87" s="30"/>
      <c r="O87" s="30"/>
      <c r="P87" s="30"/>
    </row>
    <row r="88" customFormat="false" ht="15" hidden="false" customHeight="false" outlineLevel="0" collapsed="false">
      <c r="A88" s="30"/>
      <c r="B88" s="43"/>
      <c r="C88" s="30"/>
      <c r="D88" s="30"/>
      <c r="E88" s="30"/>
      <c r="F88" s="30"/>
      <c r="G88" s="41"/>
      <c r="H88" s="41"/>
      <c r="I88" s="41"/>
      <c r="J88" s="41"/>
      <c r="K88" s="27"/>
      <c r="L88" s="30"/>
      <c r="M88" s="30"/>
      <c r="N88" s="30"/>
      <c r="O88" s="30"/>
      <c r="P88" s="30"/>
    </row>
    <row r="89" customFormat="false" ht="15" hidden="false" customHeight="false" outlineLevel="0" collapsed="false">
      <c r="A89" s="30"/>
      <c r="B89" s="43"/>
      <c r="C89" s="30"/>
      <c r="D89" s="30"/>
      <c r="E89" s="30"/>
      <c r="F89" s="30"/>
      <c r="G89" s="41"/>
      <c r="H89" s="41"/>
      <c r="I89" s="41"/>
      <c r="J89" s="41"/>
      <c r="K89" s="27"/>
      <c r="L89" s="30"/>
      <c r="M89" s="30"/>
      <c r="N89" s="30"/>
      <c r="O89" s="30"/>
      <c r="P89" s="30"/>
    </row>
    <row r="90" customFormat="false" ht="15" hidden="false" customHeight="false" outlineLevel="0" collapsed="false">
      <c r="A90" s="30"/>
      <c r="B90" s="43"/>
      <c r="C90" s="30"/>
      <c r="D90" s="30"/>
      <c r="E90" s="30"/>
      <c r="F90" s="30"/>
      <c r="G90" s="41"/>
      <c r="H90" s="41"/>
      <c r="I90" s="41"/>
      <c r="J90" s="41"/>
      <c r="K90" s="27"/>
      <c r="L90" s="30"/>
      <c r="M90" s="30"/>
      <c r="N90" s="30"/>
      <c r="O90" s="30"/>
      <c r="P90" s="30"/>
    </row>
    <row r="91" customFormat="false" ht="15" hidden="false" customHeight="false" outlineLevel="0" collapsed="false">
      <c r="A91" s="30"/>
      <c r="B91" s="43"/>
      <c r="C91" s="30"/>
      <c r="D91" s="30"/>
      <c r="E91" s="30"/>
      <c r="F91" s="30"/>
      <c r="G91" s="41"/>
      <c r="H91" s="41"/>
      <c r="I91" s="41"/>
      <c r="J91" s="41"/>
      <c r="K91" s="27"/>
      <c r="L91" s="30"/>
      <c r="M91" s="30"/>
      <c r="N91" s="30"/>
      <c r="O91" s="30"/>
      <c r="P91" s="30"/>
    </row>
    <row r="92" customFormat="false" ht="15" hidden="false" customHeight="false" outlineLevel="0" collapsed="false">
      <c r="A92" s="30"/>
      <c r="B92" s="43"/>
      <c r="C92" s="30"/>
      <c r="D92" s="30"/>
      <c r="E92" s="30"/>
      <c r="F92" s="30"/>
      <c r="G92" s="41"/>
      <c r="H92" s="41"/>
      <c r="I92" s="41"/>
      <c r="J92" s="41"/>
      <c r="K92" s="27"/>
      <c r="L92" s="30"/>
      <c r="M92" s="30"/>
      <c r="N92" s="30"/>
      <c r="O92" s="30"/>
      <c r="P92" s="30"/>
    </row>
    <row r="93" customFormat="false" ht="15" hidden="false" customHeight="false" outlineLevel="0" collapsed="false">
      <c r="A93" s="30"/>
      <c r="B93" s="43"/>
      <c r="C93" s="30"/>
      <c r="D93" s="30"/>
      <c r="E93" s="30"/>
      <c r="F93" s="30"/>
      <c r="G93" s="41"/>
      <c r="H93" s="41"/>
      <c r="I93" s="41"/>
      <c r="J93" s="41"/>
      <c r="K93" s="27"/>
      <c r="L93" s="30"/>
      <c r="M93" s="30"/>
      <c r="N93" s="30"/>
      <c r="O93" s="30"/>
      <c r="P93" s="30"/>
    </row>
    <row r="94" customFormat="false" ht="15" hidden="false" customHeight="false" outlineLevel="0" collapsed="false">
      <c r="A94" s="30"/>
      <c r="B94" s="43"/>
      <c r="C94" s="30"/>
      <c r="D94" s="30"/>
      <c r="E94" s="30"/>
      <c r="F94" s="30"/>
      <c r="G94" s="41"/>
      <c r="H94" s="41"/>
      <c r="I94" s="41"/>
      <c r="J94" s="41"/>
      <c r="K94" s="27"/>
      <c r="L94" s="30"/>
      <c r="M94" s="30"/>
      <c r="N94" s="30"/>
      <c r="O94" s="30"/>
      <c r="P94" s="30"/>
    </row>
    <row r="95" customFormat="false" ht="15" hidden="false" customHeight="false" outlineLevel="0" collapsed="false">
      <c r="A95" s="30"/>
      <c r="B95" s="43"/>
      <c r="C95" s="30"/>
      <c r="D95" s="30"/>
      <c r="E95" s="30"/>
      <c r="F95" s="30"/>
      <c r="G95" s="41"/>
      <c r="H95" s="41"/>
      <c r="I95" s="41"/>
      <c r="J95" s="41"/>
      <c r="K95" s="27"/>
      <c r="L95" s="30"/>
      <c r="M95" s="30"/>
      <c r="N95" s="30"/>
      <c r="O95" s="30"/>
      <c r="P95" s="30"/>
    </row>
    <row r="96" customFormat="false" ht="15" hidden="false" customHeight="false" outlineLevel="0" collapsed="false">
      <c r="A96" s="30"/>
      <c r="B96" s="43"/>
      <c r="C96" s="30"/>
      <c r="D96" s="30"/>
      <c r="E96" s="30"/>
      <c r="F96" s="30"/>
      <c r="G96" s="41"/>
      <c r="H96" s="41"/>
      <c r="I96" s="41"/>
      <c r="J96" s="41"/>
      <c r="K96" s="27"/>
      <c r="L96" s="30"/>
      <c r="M96" s="30"/>
      <c r="N96" s="30"/>
      <c r="O96" s="30"/>
      <c r="P96" s="30"/>
    </row>
    <row r="97" customFormat="false" ht="15" hidden="false" customHeight="false" outlineLevel="0" collapsed="false">
      <c r="A97" s="30"/>
      <c r="B97" s="43"/>
      <c r="C97" s="30"/>
      <c r="D97" s="30"/>
      <c r="E97" s="30"/>
      <c r="F97" s="30"/>
      <c r="G97" s="41"/>
      <c r="H97" s="41"/>
      <c r="I97" s="41"/>
      <c r="J97" s="41"/>
      <c r="K97" s="27"/>
      <c r="L97" s="30"/>
      <c r="M97" s="30"/>
      <c r="N97" s="30"/>
      <c r="O97" s="30"/>
      <c r="P97" s="30"/>
    </row>
    <row r="98" customFormat="false" ht="15" hidden="false" customHeight="false" outlineLevel="0" collapsed="false">
      <c r="A98" s="30"/>
      <c r="B98" s="43"/>
      <c r="C98" s="30"/>
      <c r="D98" s="30"/>
      <c r="E98" s="30"/>
      <c r="F98" s="30"/>
      <c r="G98" s="41"/>
      <c r="H98" s="41"/>
      <c r="I98" s="41"/>
      <c r="J98" s="41"/>
      <c r="K98" s="27"/>
      <c r="L98" s="30"/>
      <c r="M98" s="30"/>
      <c r="N98" s="30"/>
      <c r="O98" s="30"/>
      <c r="P98" s="30"/>
    </row>
    <row r="99" customFormat="false" ht="15" hidden="false" customHeight="false" outlineLevel="0" collapsed="false">
      <c r="A99" s="30"/>
      <c r="B99" s="43"/>
      <c r="C99" s="30"/>
      <c r="D99" s="30"/>
      <c r="E99" s="30"/>
      <c r="F99" s="30"/>
      <c r="G99" s="41"/>
      <c r="H99" s="41"/>
      <c r="I99" s="41"/>
      <c r="J99" s="41"/>
      <c r="K99" s="27"/>
      <c r="L99" s="30"/>
      <c r="M99" s="30"/>
      <c r="N99" s="30"/>
      <c r="O99" s="30"/>
      <c r="P99" s="30"/>
    </row>
    <row r="100" customFormat="false" ht="15" hidden="false" customHeight="false" outlineLevel="0" collapsed="false">
      <c r="A100" s="30"/>
      <c r="B100" s="43"/>
      <c r="C100" s="30"/>
      <c r="D100" s="30"/>
      <c r="E100" s="30"/>
      <c r="F100" s="30"/>
      <c r="G100" s="41"/>
      <c r="H100" s="41"/>
      <c r="I100" s="41"/>
      <c r="J100" s="41"/>
      <c r="K100" s="27"/>
      <c r="L100" s="30"/>
      <c r="M100" s="30"/>
      <c r="N100" s="30"/>
      <c r="O100" s="30"/>
      <c r="P100" s="30"/>
    </row>
    <row r="101" customFormat="false" ht="15" hidden="false" customHeight="false" outlineLevel="0" collapsed="false">
      <c r="A101" s="30"/>
      <c r="B101" s="43"/>
      <c r="C101" s="30"/>
      <c r="D101" s="30"/>
      <c r="E101" s="30"/>
      <c r="F101" s="30"/>
      <c r="G101" s="41"/>
      <c r="H101" s="41"/>
      <c r="I101" s="41"/>
      <c r="J101" s="41"/>
      <c r="K101" s="27"/>
      <c r="L101" s="30"/>
      <c r="M101" s="30"/>
      <c r="N101" s="30"/>
      <c r="O101" s="30"/>
      <c r="P101" s="30"/>
    </row>
    <row r="102" customFormat="false" ht="15" hidden="false" customHeight="false" outlineLevel="0" collapsed="false">
      <c r="A102" s="30"/>
      <c r="B102" s="43"/>
      <c r="C102" s="30"/>
      <c r="D102" s="30"/>
      <c r="E102" s="30"/>
      <c r="F102" s="30"/>
      <c r="G102" s="41"/>
      <c r="H102" s="41"/>
      <c r="I102" s="41"/>
      <c r="J102" s="41"/>
      <c r="K102" s="27"/>
      <c r="L102" s="30"/>
      <c r="M102" s="30"/>
      <c r="N102" s="30"/>
      <c r="O102" s="30"/>
      <c r="P102" s="30"/>
    </row>
    <row r="103" customFormat="false" ht="15" hidden="false" customHeight="false" outlineLevel="0" collapsed="false">
      <c r="A103" s="30"/>
      <c r="B103" s="43"/>
      <c r="C103" s="30"/>
      <c r="D103" s="30"/>
      <c r="E103" s="30"/>
      <c r="F103" s="30"/>
      <c r="G103" s="41"/>
      <c r="H103" s="41"/>
      <c r="I103" s="41"/>
      <c r="J103" s="41"/>
      <c r="K103" s="27"/>
      <c r="L103" s="30"/>
      <c r="M103" s="30"/>
      <c r="N103" s="30"/>
      <c r="O103" s="30"/>
      <c r="P103" s="30"/>
    </row>
    <row r="104" customFormat="false" ht="15" hidden="false" customHeight="false" outlineLevel="0" collapsed="false">
      <c r="A104" s="30"/>
      <c r="B104" s="43"/>
      <c r="C104" s="30"/>
      <c r="D104" s="30"/>
      <c r="E104" s="30"/>
      <c r="F104" s="30"/>
      <c r="G104" s="41"/>
      <c r="H104" s="41"/>
      <c r="I104" s="41"/>
      <c r="J104" s="41"/>
      <c r="K104" s="27"/>
      <c r="L104" s="30"/>
      <c r="M104" s="30"/>
      <c r="N104" s="30"/>
      <c r="O104" s="30"/>
      <c r="P104" s="30"/>
    </row>
    <row r="105" customFormat="false" ht="15" hidden="false" customHeight="false" outlineLevel="0" collapsed="false">
      <c r="A105" s="30"/>
      <c r="B105" s="43"/>
      <c r="C105" s="30"/>
      <c r="D105" s="30"/>
      <c r="E105" s="30"/>
      <c r="F105" s="30"/>
      <c r="G105" s="41"/>
      <c r="H105" s="41"/>
      <c r="I105" s="41"/>
      <c r="J105" s="41"/>
      <c r="K105" s="27"/>
      <c r="L105" s="30"/>
      <c r="M105" s="30"/>
      <c r="N105" s="30"/>
      <c r="O105" s="30"/>
      <c r="P105" s="30"/>
    </row>
    <row r="106" customFormat="false" ht="15" hidden="false" customHeight="false" outlineLevel="0" collapsed="false">
      <c r="A106" s="30"/>
      <c r="B106" s="43"/>
      <c r="C106" s="30"/>
      <c r="D106" s="30"/>
      <c r="E106" s="30"/>
      <c r="F106" s="30"/>
      <c r="G106" s="41"/>
      <c r="H106" s="41"/>
      <c r="I106" s="41"/>
      <c r="J106" s="41"/>
      <c r="K106" s="27"/>
      <c r="L106" s="30"/>
      <c r="M106" s="30"/>
      <c r="N106" s="30"/>
      <c r="O106" s="30"/>
      <c r="P106" s="30"/>
    </row>
    <row r="107" customFormat="false" ht="15" hidden="false" customHeight="false" outlineLevel="0" collapsed="false">
      <c r="A107" s="30"/>
      <c r="B107" s="43"/>
      <c r="C107" s="30"/>
      <c r="D107" s="30"/>
      <c r="E107" s="30"/>
      <c r="F107" s="30"/>
      <c r="G107" s="41"/>
      <c r="H107" s="41"/>
      <c r="I107" s="41"/>
      <c r="J107" s="41"/>
      <c r="K107" s="27"/>
      <c r="L107" s="30"/>
      <c r="M107" s="30"/>
      <c r="N107" s="30"/>
      <c r="O107" s="30"/>
      <c r="P107" s="30"/>
    </row>
    <row r="108" customFormat="false" ht="15" hidden="false" customHeight="false" outlineLevel="0" collapsed="false">
      <c r="A108" s="30"/>
      <c r="B108" s="43"/>
      <c r="C108" s="30"/>
      <c r="D108" s="30"/>
      <c r="E108" s="30"/>
      <c r="F108" s="30"/>
      <c r="G108" s="41"/>
      <c r="H108" s="41"/>
      <c r="I108" s="41"/>
      <c r="J108" s="41"/>
      <c r="K108" s="27"/>
      <c r="L108" s="30"/>
      <c r="M108" s="30"/>
      <c r="N108" s="30"/>
      <c r="O108" s="30"/>
      <c r="P108" s="30"/>
    </row>
    <row r="109" customFormat="false" ht="15" hidden="false" customHeight="false" outlineLevel="0" collapsed="false">
      <c r="A109" s="30"/>
      <c r="B109" s="43"/>
      <c r="C109" s="30"/>
      <c r="D109" s="30"/>
      <c r="E109" s="30"/>
      <c r="F109" s="30"/>
      <c r="G109" s="41"/>
      <c r="H109" s="41"/>
      <c r="I109" s="41"/>
      <c r="J109" s="41"/>
      <c r="K109" s="27"/>
      <c r="L109" s="30"/>
      <c r="M109" s="30"/>
      <c r="N109" s="30"/>
      <c r="O109" s="30"/>
      <c r="P109" s="30"/>
    </row>
    <row r="110" customFormat="false" ht="15" hidden="false" customHeight="false" outlineLevel="0" collapsed="false">
      <c r="A110" s="30"/>
      <c r="B110" s="43"/>
      <c r="C110" s="30"/>
      <c r="D110" s="30"/>
      <c r="E110" s="30"/>
      <c r="F110" s="30"/>
      <c r="G110" s="41"/>
      <c r="H110" s="41"/>
      <c r="I110" s="41"/>
      <c r="J110" s="41"/>
      <c r="K110" s="27"/>
      <c r="L110" s="30"/>
      <c r="M110" s="30"/>
      <c r="N110" s="30"/>
      <c r="O110" s="30"/>
      <c r="P110" s="30"/>
    </row>
    <row r="111" customFormat="false" ht="15" hidden="false" customHeight="false" outlineLevel="0" collapsed="false">
      <c r="A111" s="30"/>
      <c r="B111" s="43"/>
      <c r="C111" s="30"/>
      <c r="D111" s="30"/>
      <c r="E111" s="30"/>
      <c r="F111" s="30"/>
      <c r="G111" s="41"/>
      <c r="H111" s="41"/>
      <c r="I111" s="41"/>
      <c r="J111" s="41"/>
      <c r="K111" s="27"/>
      <c r="L111" s="30"/>
      <c r="M111" s="30"/>
      <c r="N111" s="30"/>
      <c r="O111" s="30"/>
      <c r="P111" s="30"/>
    </row>
    <row r="112" customFormat="false" ht="15" hidden="false" customHeight="false" outlineLevel="0" collapsed="false">
      <c r="A112" s="30"/>
      <c r="B112" s="43"/>
      <c r="C112" s="30"/>
      <c r="D112" s="30"/>
      <c r="E112" s="30"/>
      <c r="F112" s="30"/>
      <c r="G112" s="41"/>
      <c r="H112" s="41"/>
      <c r="I112" s="41"/>
      <c r="J112" s="41"/>
      <c r="K112" s="27"/>
      <c r="L112" s="30"/>
      <c r="M112" s="30"/>
      <c r="N112" s="30"/>
      <c r="O112" s="30"/>
      <c r="P112" s="30"/>
    </row>
    <row r="113" customFormat="false" ht="15" hidden="false" customHeight="false" outlineLevel="0" collapsed="false">
      <c r="A113" s="30"/>
      <c r="B113" s="43"/>
      <c r="C113" s="30"/>
      <c r="D113" s="30"/>
      <c r="E113" s="30"/>
      <c r="F113" s="30"/>
      <c r="G113" s="41"/>
      <c r="H113" s="41"/>
      <c r="I113" s="41"/>
      <c r="J113" s="41"/>
      <c r="K113" s="27"/>
      <c r="L113" s="30"/>
      <c r="M113" s="30"/>
      <c r="N113" s="30"/>
      <c r="O113" s="30"/>
      <c r="P113" s="30"/>
    </row>
    <row r="114" customFormat="false" ht="15" hidden="false" customHeight="false" outlineLevel="0" collapsed="false">
      <c r="A114" s="30"/>
      <c r="B114" s="43"/>
      <c r="C114" s="30"/>
      <c r="D114" s="30"/>
      <c r="E114" s="30"/>
      <c r="F114" s="30"/>
      <c r="G114" s="41"/>
      <c r="H114" s="41"/>
      <c r="I114" s="41"/>
      <c r="J114" s="41"/>
      <c r="K114" s="27"/>
      <c r="L114" s="30"/>
      <c r="M114" s="30"/>
      <c r="N114" s="30"/>
      <c r="O114" s="30"/>
      <c r="P114" s="30"/>
    </row>
    <row r="115" customFormat="false" ht="15" hidden="false" customHeight="false" outlineLevel="0" collapsed="false">
      <c r="A115" s="30"/>
      <c r="B115" s="43"/>
      <c r="C115" s="30"/>
      <c r="D115" s="30"/>
      <c r="E115" s="30"/>
      <c r="F115" s="30"/>
      <c r="G115" s="41"/>
      <c r="H115" s="41"/>
      <c r="I115" s="41"/>
      <c r="J115" s="41"/>
      <c r="K115" s="27"/>
      <c r="L115" s="30"/>
      <c r="M115" s="30"/>
      <c r="N115" s="30"/>
      <c r="O115" s="30"/>
      <c r="P115" s="30"/>
    </row>
    <row r="116" customFormat="false" ht="15" hidden="false" customHeight="false" outlineLevel="0" collapsed="false">
      <c r="A116" s="30"/>
      <c r="B116" s="43"/>
      <c r="C116" s="30"/>
      <c r="D116" s="30"/>
      <c r="E116" s="30"/>
      <c r="F116" s="30"/>
      <c r="G116" s="41"/>
      <c r="H116" s="41"/>
      <c r="I116" s="41"/>
      <c r="J116" s="41"/>
      <c r="K116" s="27"/>
      <c r="L116" s="30"/>
      <c r="M116" s="30"/>
      <c r="N116" s="30"/>
      <c r="O116" s="30"/>
      <c r="P116" s="30"/>
    </row>
    <row r="117" customFormat="false" ht="15" hidden="false" customHeight="false" outlineLevel="0" collapsed="false">
      <c r="A117" s="30"/>
      <c r="B117" s="43"/>
      <c r="C117" s="30"/>
      <c r="D117" s="30"/>
      <c r="E117" s="30"/>
      <c r="F117" s="30"/>
      <c r="G117" s="41"/>
      <c r="H117" s="41"/>
      <c r="I117" s="41"/>
      <c r="J117" s="41"/>
      <c r="K117" s="27"/>
      <c r="L117" s="30"/>
      <c r="M117" s="30"/>
      <c r="N117" s="30"/>
      <c r="O117" s="30"/>
      <c r="P117" s="30"/>
    </row>
    <row r="118" customFormat="false" ht="15" hidden="false" customHeight="false" outlineLevel="0" collapsed="false">
      <c r="A118" s="30"/>
      <c r="B118" s="43"/>
      <c r="C118" s="30"/>
      <c r="D118" s="30"/>
      <c r="E118" s="30"/>
      <c r="F118" s="30"/>
      <c r="G118" s="41"/>
      <c r="H118" s="41"/>
      <c r="I118" s="41"/>
      <c r="J118" s="41"/>
      <c r="K118" s="27"/>
      <c r="L118" s="30"/>
      <c r="M118" s="30"/>
      <c r="N118" s="30"/>
      <c r="O118" s="30"/>
      <c r="P118" s="30"/>
    </row>
    <row r="119" customFormat="false" ht="15" hidden="false" customHeight="false" outlineLevel="0" collapsed="false">
      <c r="A119" s="30"/>
      <c r="B119" s="43"/>
      <c r="C119" s="30"/>
      <c r="D119" s="30"/>
      <c r="E119" s="30"/>
      <c r="F119" s="30"/>
      <c r="G119" s="41"/>
      <c r="H119" s="41"/>
      <c r="I119" s="41"/>
      <c r="J119" s="41"/>
      <c r="K119" s="27"/>
      <c r="L119" s="30"/>
      <c r="M119" s="30"/>
      <c r="N119" s="30"/>
      <c r="O119" s="30"/>
      <c r="P119" s="30"/>
    </row>
    <row r="120" customFormat="false" ht="15" hidden="false" customHeight="false" outlineLevel="0" collapsed="false">
      <c r="A120" s="30"/>
      <c r="B120" s="43"/>
      <c r="C120" s="30"/>
      <c r="D120" s="30"/>
      <c r="E120" s="30"/>
      <c r="F120" s="30"/>
      <c r="G120" s="41"/>
      <c r="H120" s="41"/>
      <c r="I120" s="41"/>
      <c r="J120" s="41"/>
      <c r="K120" s="27"/>
      <c r="L120" s="30"/>
      <c r="M120" s="30"/>
      <c r="N120" s="30"/>
      <c r="O120" s="30"/>
      <c r="P120" s="30"/>
    </row>
    <row r="121" customFormat="false" ht="15" hidden="false" customHeight="false" outlineLevel="0" collapsed="false">
      <c r="A121" s="30"/>
      <c r="B121" s="43"/>
      <c r="C121" s="30"/>
      <c r="D121" s="30"/>
      <c r="E121" s="30"/>
      <c r="F121" s="30"/>
      <c r="G121" s="41"/>
      <c r="H121" s="41"/>
      <c r="I121" s="41"/>
      <c r="J121" s="41"/>
      <c r="K121" s="27"/>
      <c r="L121" s="30"/>
      <c r="M121" s="30"/>
      <c r="N121" s="30"/>
      <c r="O121" s="30"/>
      <c r="P121" s="30"/>
    </row>
    <row r="122" customFormat="false" ht="15" hidden="false" customHeight="false" outlineLevel="0" collapsed="false">
      <c r="A122" s="30"/>
      <c r="B122" s="43"/>
      <c r="C122" s="30"/>
      <c r="D122" s="30"/>
      <c r="E122" s="30"/>
      <c r="F122" s="30"/>
      <c r="G122" s="41"/>
      <c r="H122" s="41"/>
      <c r="I122" s="41"/>
      <c r="J122" s="41"/>
      <c r="K122" s="27"/>
      <c r="L122" s="30"/>
      <c r="M122" s="30"/>
      <c r="N122" s="30"/>
      <c r="O122" s="30"/>
      <c r="P122" s="30"/>
    </row>
    <row r="123" customFormat="false" ht="15" hidden="false" customHeight="false" outlineLevel="0" collapsed="false">
      <c r="A123" s="30"/>
      <c r="B123" s="43"/>
      <c r="C123" s="30"/>
      <c r="D123" s="30"/>
      <c r="E123" s="30"/>
      <c r="F123" s="30"/>
      <c r="G123" s="41"/>
      <c r="H123" s="41"/>
      <c r="I123" s="41"/>
      <c r="J123" s="41"/>
      <c r="K123" s="27"/>
      <c r="L123" s="30"/>
      <c r="M123" s="30"/>
      <c r="N123" s="30"/>
      <c r="O123" s="30"/>
      <c r="P123" s="30"/>
    </row>
    <row r="124" customFormat="false" ht="15" hidden="false" customHeight="false" outlineLevel="0" collapsed="false">
      <c r="A124" s="30"/>
      <c r="B124" s="43"/>
      <c r="C124" s="30"/>
      <c r="D124" s="30"/>
      <c r="E124" s="30"/>
      <c r="F124" s="30"/>
      <c r="G124" s="41"/>
      <c r="H124" s="41"/>
      <c r="I124" s="41"/>
      <c r="J124" s="41"/>
      <c r="K124" s="27"/>
      <c r="L124" s="30"/>
      <c r="M124" s="30"/>
      <c r="N124" s="30"/>
      <c r="O124" s="30"/>
      <c r="P124" s="30"/>
    </row>
    <row r="125" customFormat="false" ht="15" hidden="false" customHeight="false" outlineLevel="0" collapsed="false">
      <c r="A125" s="30"/>
      <c r="B125" s="43"/>
      <c r="C125" s="30"/>
      <c r="D125" s="30"/>
      <c r="E125" s="30"/>
      <c r="F125" s="30"/>
      <c r="G125" s="41"/>
      <c r="H125" s="41"/>
      <c r="I125" s="41"/>
      <c r="J125" s="41"/>
      <c r="K125" s="27"/>
      <c r="L125" s="30"/>
      <c r="M125" s="30"/>
      <c r="N125" s="30"/>
      <c r="O125" s="30"/>
      <c r="P125" s="30"/>
    </row>
    <row r="126" customFormat="false" ht="15" hidden="false" customHeight="false" outlineLevel="0" collapsed="false">
      <c r="A126" s="30"/>
      <c r="B126" s="43"/>
      <c r="C126" s="30"/>
      <c r="D126" s="30"/>
      <c r="E126" s="30"/>
      <c r="F126" s="30"/>
      <c r="G126" s="41"/>
      <c r="H126" s="41"/>
      <c r="I126" s="41"/>
      <c r="J126" s="41"/>
      <c r="K126" s="27"/>
      <c r="L126" s="30"/>
      <c r="M126" s="30"/>
      <c r="N126" s="30"/>
      <c r="O126" s="30"/>
      <c r="P126" s="30"/>
    </row>
    <row r="127" customFormat="false" ht="15" hidden="false" customHeight="false" outlineLevel="0" collapsed="false">
      <c r="A127" s="30"/>
      <c r="B127" s="43"/>
      <c r="C127" s="30"/>
      <c r="D127" s="30"/>
      <c r="E127" s="30"/>
      <c r="F127" s="30"/>
      <c r="G127" s="41"/>
      <c r="H127" s="41"/>
      <c r="I127" s="41"/>
      <c r="J127" s="41"/>
      <c r="K127" s="27"/>
      <c r="L127" s="30"/>
      <c r="M127" s="30"/>
      <c r="N127" s="30"/>
      <c r="O127" s="30"/>
      <c r="P127" s="30"/>
    </row>
    <row r="128" customFormat="false" ht="15" hidden="false" customHeight="false" outlineLevel="0" collapsed="false">
      <c r="A128" s="30"/>
      <c r="B128" s="43"/>
      <c r="C128" s="30"/>
      <c r="D128" s="30"/>
      <c r="E128" s="30"/>
      <c r="F128" s="30"/>
      <c r="G128" s="41"/>
      <c r="H128" s="41"/>
      <c r="I128" s="41"/>
      <c r="J128" s="41"/>
      <c r="K128" s="27"/>
      <c r="L128" s="30"/>
      <c r="M128" s="30"/>
      <c r="N128" s="30"/>
      <c r="O128" s="30"/>
      <c r="P128" s="30"/>
    </row>
    <row r="129" customFormat="false" ht="15" hidden="false" customHeight="false" outlineLevel="0" collapsed="false">
      <c r="A129" s="30"/>
      <c r="B129" s="43"/>
      <c r="C129" s="30"/>
      <c r="D129" s="30"/>
      <c r="E129" s="30"/>
      <c r="F129" s="30"/>
      <c r="G129" s="41"/>
      <c r="H129" s="41"/>
      <c r="I129" s="41"/>
      <c r="J129" s="41"/>
      <c r="K129" s="27"/>
      <c r="L129" s="30"/>
      <c r="M129" s="30"/>
      <c r="N129" s="30"/>
      <c r="O129" s="30"/>
      <c r="P129" s="30"/>
    </row>
    <row r="130" customFormat="false" ht="15" hidden="false" customHeight="false" outlineLevel="0" collapsed="false">
      <c r="A130" s="30"/>
      <c r="B130" s="43"/>
      <c r="C130" s="30"/>
      <c r="D130" s="30"/>
      <c r="E130" s="30"/>
      <c r="F130" s="30"/>
      <c r="G130" s="41"/>
      <c r="H130" s="41"/>
      <c r="I130" s="41"/>
      <c r="J130" s="41"/>
      <c r="K130" s="27"/>
      <c r="L130" s="30"/>
      <c r="M130" s="30"/>
      <c r="N130" s="30"/>
      <c r="O130" s="30"/>
      <c r="P130" s="30"/>
    </row>
    <row r="131" customFormat="false" ht="15" hidden="false" customHeight="false" outlineLevel="0" collapsed="false">
      <c r="A131" s="30"/>
      <c r="B131" s="43"/>
      <c r="C131" s="30"/>
      <c r="D131" s="30"/>
      <c r="E131" s="30"/>
      <c r="F131" s="30"/>
      <c r="G131" s="41"/>
      <c r="H131" s="41"/>
      <c r="I131" s="41"/>
      <c r="J131" s="41"/>
      <c r="K131" s="27"/>
      <c r="L131" s="30"/>
      <c r="M131" s="30"/>
      <c r="N131" s="30"/>
      <c r="O131" s="30"/>
      <c r="P131" s="30"/>
    </row>
    <row r="132" customFormat="false" ht="15" hidden="false" customHeight="false" outlineLevel="0" collapsed="false">
      <c r="A132" s="30"/>
      <c r="B132" s="43"/>
      <c r="C132" s="30"/>
      <c r="D132" s="30"/>
      <c r="E132" s="30"/>
      <c r="F132" s="30"/>
      <c r="G132" s="41"/>
      <c r="H132" s="41"/>
      <c r="I132" s="41"/>
      <c r="J132" s="41"/>
      <c r="K132" s="27"/>
      <c r="L132" s="30"/>
      <c r="M132" s="30"/>
      <c r="N132" s="30"/>
      <c r="O132" s="30"/>
      <c r="P132" s="30"/>
    </row>
    <row r="133" customFormat="false" ht="15" hidden="false" customHeight="false" outlineLevel="0" collapsed="false">
      <c r="A133" s="30"/>
      <c r="B133" s="43"/>
      <c r="C133" s="30"/>
      <c r="D133" s="30"/>
      <c r="E133" s="30"/>
      <c r="F133" s="30"/>
      <c r="G133" s="41"/>
      <c r="H133" s="41"/>
      <c r="I133" s="41"/>
      <c r="J133" s="41"/>
      <c r="K133" s="27"/>
      <c r="L133" s="30"/>
      <c r="M133" s="30"/>
      <c r="N133" s="30"/>
      <c r="O133" s="30"/>
      <c r="P133" s="30"/>
    </row>
    <row r="134" customFormat="false" ht="15" hidden="false" customHeight="false" outlineLevel="0" collapsed="false">
      <c r="A134" s="30"/>
      <c r="B134" s="43"/>
      <c r="C134" s="30"/>
      <c r="D134" s="30"/>
      <c r="E134" s="30"/>
      <c r="F134" s="30"/>
      <c r="G134" s="41"/>
      <c r="H134" s="41"/>
      <c r="I134" s="41"/>
      <c r="J134" s="41"/>
      <c r="K134" s="27"/>
      <c r="L134" s="30"/>
      <c r="M134" s="30"/>
      <c r="N134" s="30"/>
      <c r="O134" s="30"/>
      <c r="P134" s="30"/>
    </row>
    <row r="135" customFormat="false" ht="15" hidden="false" customHeight="false" outlineLevel="0" collapsed="false">
      <c r="A135" s="30"/>
      <c r="B135" s="43"/>
      <c r="C135" s="30"/>
      <c r="D135" s="30"/>
      <c r="E135" s="30"/>
      <c r="F135" s="30"/>
      <c r="G135" s="41"/>
      <c r="H135" s="41"/>
      <c r="I135" s="41"/>
      <c r="J135" s="41"/>
      <c r="K135" s="27"/>
      <c r="L135" s="30"/>
      <c r="M135" s="30"/>
      <c r="N135" s="30"/>
      <c r="O135" s="30"/>
      <c r="P135" s="30"/>
    </row>
    <row r="136" customFormat="false" ht="15" hidden="false" customHeight="false" outlineLevel="0" collapsed="false">
      <c r="A136" s="30"/>
      <c r="B136" s="43"/>
      <c r="C136" s="30"/>
      <c r="D136" s="30"/>
      <c r="E136" s="30"/>
      <c r="F136" s="30"/>
      <c r="G136" s="41"/>
      <c r="H136" s="41"/>
      <c r="I136" s="41"/>
      <c r="J136" s="41"/>
      <c r="K136" s="27"/>
      <c r="L136" s="30"/>
      <c r="M136" s="30"/>
      <c r="N136" s="30"/>
      <c r="O136" s="30"/>
      <c r="P136" s="30"/>
    </row>
    <row r="137" customFormat="false" ht="15" hidden="false" customHeight="false" outlineLevel="0" collapsed="false">
      <c r="A137" s="30"/>
      <c r="B137" s="43"/>
      <c r="C137" s="30"/>
      <c r="D137" s="30"/>
      <c r="E137" s="30"/>
      <c r="F137" s="30"/>
      <c r="G137" s="41"/>
      <c r="H137" s="41"/>
      <c r="I137" s="41"/>
      <c r="J137" s="41"/>
      <c r="K137" s="27"/>
      <c r="L137" s="30"/>
      <c r="M137" s="30"/>
      <c r="N137" s="30"/>
      <c r="O137" s="30"/>
      <c r="P137" s="30"/>
    </row>
    <row r="138" customFormat="false" ht="15" hidden="false" customHeight="false" outlineLevel="0" collapsed="false">
      <c r="A138" s="30"/>
      <c r="B138" s="43"/>
      <c r="C138" s="30"/>
      <c r="D138" s="30"/>
      <c r="E138" s="30"/>
      <c r="F138" s="30"/>
      <c r="G138" s="41"/>
      <c r="H138" s="41"/>
      <c r="I138" s="41"/>
      <c r="J138" s="41"/>
      <c r="K138" s="27"/>
      <c r="L138" s="30"/>
      <c r="M138" s="30"/>
      <c r="N138" s="30"/>
      <c r="O138" s="30"/>
      <c r="P138" s="30"/>
    </row>
    <row r="139" customFormat="false" ht="15" hidden="false" customHeight="false" outlineLevel="0" collapsed="false">
      <c r="A139" s="30"/>
      <c r="B139" s="43"/>
      <c r="C139" s="30"/>
      <c r="D139" s="30"/>
      <c r="E139" s="30"/>
      <c r="F139" s="30"/>
      <c r="G139" s="41"/>
      <c r="H139" s="41"/>
      <c r="I139" s="41"/>
      <c r="J139" s="41"/>
      <c r="K139" s="27"/>
      <c r="L139" s="30"/>
      <c r="M139" s="30"/>
      <c r="N139" s="30"/>
      <c r="O139" s="30"/>
      <c r="P139" s="30"/>
    </row>
    <row r="140" customFormat="false" ht="15" hidden="false" customHeight="false" outlineLevel="0" collapsed="false">
      <c r="A140" s="30"/>
      <c r="B140" s="43"/>
      <c r="C140" s="30"/>
      <c r="D140" s="30"/>
      <c r="E140" s="30"/>
      <c r="F140" s="30"/>
      <c r="G140" s="41"/>
      <c r="H140" s="41"/>
      <c r="I140" s="41"/>
      <c r="J140" s="41"/>
      <c r="K140" s="27"/>
      <c r="L140" s="30"/>
      <c r="M140" s="30"/>
      <c r="N140" s="30"/>
      <c r="O140" s="30"/>
      <c r="P140" s="30"/>
    </row>
    <row r="141" customFormat="false" ht="15" hidden="false" customHeight="false" outlineLevel="0" collapsed="false">
      <c r="A141" s="30"/>
      <c r="B141" s="43"/>
      <c r="C141" s="30"/>
      <c r="D141" s="30"/>
      <c r="E141" s="30"/>
      <c r="F141" s="30"/>
      <c r="G141" s="41"/>
      <c r="H141" s="41"/>
      <c r="I141" s="41"/>
      <c r="J141" s="41"/>
      <c r="K141" s="27"/>
      <c r="L141" s="30"/>
      <c r="M141" s="30"/>
      <c r="N141" s="30"/>
      <c r="O141" s="30"/>
      <c r="P141" s="30"/>
    </row>
    <row r="142" customFormat="false" ht="15" hidden="false" customHeight="false" outlineLevel="0" collapsed="false">
      <c r="A142" s="30"/>
      <c r="B142" s="43"/>
      <c r="C142" s="30"/>
      <c r="D142" s="30"/>
      <c r="E142" s="30"/>
      <c r="F142" s="30"/>
      <c r="G142" s="41"/>
      <c r="H142" s="41"/>
      <c r="I142" s="41"/>
      <c r="J142" s="41"/>
      <c r="K142" s="27"/>
      <c r="L142" s="30"/>
      <c r="M142" s="30"/>
      <c r="N142" s="30"/>
      <c r="O142" s="30"/>
      <c r="P142" s="30"/>
    </row>
    <row r="143" customFormat="false" ht="15" hidden="false" customHeight="false" outlineLevel="0" collapsed="false">
      <c r="A143" s="30"/>
      <c r="B143" s="43"/>
      <c r="C143" s="30"/>
      <c r="D143" s="30"/>
      <c r="E143" s="30"/>
      <c r="F143" s="30"/>
      <c r="G143" s="41"/>
      <c r="H143" s="41"/>
      <c r="I143" s="41"/>
      <c r="J143" s="41"/>
      <c r="K143" s="27"/>
      <c r="L143" s="30"/>
      <c r="M143" s="30"/>
      <c r="N143" s="30"/>
      <c r="O143" s="30"/>
      <c r="P143" s="30"/>
    </row>
    <row r="144" customFormat="false" ht="15" hidden="false" customHeight="false" outlineLevel="0" collapsed="false">
      <c r="A144" s="30"/>
      <c r="B144" s="43"/>
      <c r="C144" s="30"/>
      <c r="D144" s="30"/>
      <c r="E144" s="30"/>
      <c r="F144" s="30"/>
      <c r="G144" s="41"/>
      <c r="H144" s="41"/>
      <c r="I144" s="41"/>
      <c r="J144" s="41"/>
      <c r="K144" s="27"/>
      <c r="L144" s="30"/>
      <c r="M144" s="30"/>
      <c r="N144" s="30"/>
      <c r="O144" s="30"/>
      <c r="P144" s="30"/>
    </row>
    <row r="145" customFormat="false" ht="15" hidden="false" customHeight="false" outlineLevel="0" collapsed="false">
      <c r="A145" s="30"/>
      <c r="B145" s="43"/>
      <c r="C145" s="30"/>
      <c r="D145" s="30"/>
      <c r="E145" s="30"/>
      <c r="F145" s="30"/>
      <c r="G145" s="41"/>
      <c r="H145" s="41"/>
      <c r="I145" s="41"/>
      <c r="J145" s="41"/>
      <c r="K145" s="27"/>
      <c r="L145" s="30"/>
      <c r="M145" s="30"/>
      <c r="N145" s="30"/>
      <c r="O145" s="30"/>
      <c r="P145" s="30"/>
    </row>
    <row r="146" customFormat="false" ht="15" hidden="false" customHeight="false" outlineLevel="0" collapsed="false">
      <c r="A146" s="30"/>
      <c r="B146" s="43"/>
      <c r="C146" s="30"/>
      <c r="D146" s="30"/>
      <c r="E146" s="30"/>
      <c r="F146" s="30"/>
      <c r="G146" s="41"/>
      <c r="H146" s="41"/>
      <c r="I146" s="41"/>
      <c r="J146" s="41"/>
      <c r="K146" s="27"/>
      <c r="L146" s="30"/>
      <c r="M146" s="30"/>
      <c r="N146" s="30"/>
      <c r="O146" s="30"/>
      <c r="P146" s="30"/>
    </row>
    <row r="147" customFormat="false" ht="15" hidden="false" customHeight="false" outlineLevel="0" collapsed="false">
      <c r="A147" s="30"/>
      <c r="B147" s="43"/>
      <c r="C147" s="30"/>
      <c r="D147" s="30"/>
      <c r="E147" s="30"/>
      <c r="F147" s="30"/>
      <c r="G147" s="41"/>
      <c r="H147" s="41"/>
      <c r="I147" s="41"/>
      <c r="J147" s="41"/>
      <c r="K147" s="27"/>
      <c r="L147" s="30"/>
      <c r="M147" s="30"/>
      <c r="N147" s="30"/>
      <c r="O147" s="30"/>
      <c r="P147" s="30"/>
    </row>
    <row r="148" customFormat="false" ht="15" hidden="false" customHeight="false" outlineLevel="0" collapsed="false">
      <c r="A148" s="30"/>
      <c r="B148" s="43"/>
      <c r="C148" s="30"/>
      <c r="D148" s="30"/>
      <c r="E148" s="30"/>
      <c r="F148" s="30"/>
      <c r="G148" s="41"/>
      <c r="H148" s="41"/>
      <c r="I148" s="41"/>
      <c r="J148" s="41"/>
      <c r="K148" s="27"/>
      <c r="L148" s="30"/>
      <c r="M148" s="30"/>
      <c r="N148" s="30"/>
      <c r="O148" s="30"/>
      <c r="P148" s="30"/>
    </row>
    <row r="149" customFormat="false" ht="15" hidden="false" customHeight="false" outlineLevel="0" collapsed="false">
      <c r="A149" s="30"/>
      <c r="B149" s="43"/>
      <c r="C149" s="30"/>
      <c r="D149" s="30"/>
      <c r="E149" s="30"/>
      <c r="F149" s="30"/>
      <c r="G149" s="41"/>
      <c r="H149" s="41"/>
      <c r="I149" s="41"/>
      <c r="J149" s="41"/>
      <c r="K149" s="27"/>
      <c r="L149" s="30"/>
      <c r="M149" s="30"/>
      <c r="N149" s="30"/>
      <c r="O149" s="30"/>
      <c r="P149" s="30"/>
    </row>
    <row r="150" customFormat="false" ht="15" hidden="false" customHeight="false" outlineLevel="0" collapsed="false">
      <c r="A150" s="30"/>
      <c r="B150" s="43"/>
      <c r="C150" s="30"/>
      <c r="D150" s="30"/>
      <c r="E150" s="30"/>
      <c r="F150" s="30"/>
      <c r="G150" s="41"/>
      <c r="H150" s="41"/>
      <c r="I150" s="41"/>
      <c r="J150" s="41"/>
      <c r="K150" s="27"/>
      <c r="L150" s="30"/>
      <c r="M150" s="30"/>
      <c r="N150" s="30"/>
      <c r="O150" s="30"/>
      <c r="P150" s="30"/>
    </row>
    <row r="151" customFormat="false" ht="15" hidden="false" customHeight="false" outlineLevel="0" collapsed="false">
      <c r="A151" s="30"/>
      <c r="B151" s="43"/>
      <c r="C151" s="30"/>
      <c r="D151" s="30"/>
      <c r="E151" s="30"/>
      <c r="F151" s="30"/>
      <c r="G151" s="41"/>
      <c r="H151" s="41"/>
      <c r="I151" s="41"/>
      <c r="J151" s="41"/>
      <c r="K151" s="27"/>
      <c r="L151" s="30"/>
      <c r="M151" s="30"/>
      <c r="N151" s="30"/>
      <c r="O151" s="30"/>
      <c r="P151" s="30"/>
    </row>
    <row r="152" customFormat="false" ht="15" hidden="false" customHeight="false" outlineLevel="0" collapsed="false">
      <c r="A152" s="30"/>
      <c r="B152" s="43"/>
      <c r="C152" s="30"/>
      <c r="D152" s="30"/>
      <c r="E152" s="30"/>
      <c r="F152" s="30"/>
      <c r="G152" s="41"/>
      <c r="H152" s="41"/>
      <c r="I152" s="41"/>
      <c r="J152" s="41"/>
      <c r="K152" s="27"/>
      <c r="L152" s="30"/>
      <c r="M152" s="30"/>
      <c r="N152" s="30"/>
      <c r="O152" s="30"/>
      <c r="P152" s="30"/>
    </row>
    <row r="153" customFormat="false" ht="15" hidden="false" customHeight="false" outlineLevel="0" collapsed="false">
      <c r="A153" s="30"/>
      <c r="B153" s="43"/>
      <c r="C153" s="30"/>
      <c r="D153" s="30"/>
      <c r="E153" s="30"/>
      <c r="F153" s="30"/>
      <c r="G153" s="41"/>
      <c r="H153" s="41"/>
      <c r="I153" s="41"/>
      <c r="J153" s="41"/>
      <c r="K153" s="27"/>
      <c r="L153" s="30"/>
      <c r="M153" s="30"/>
      <c r="N153" s="30"/>
      <c r="O153" s="30"/>
      <c r="P153" s="30"/>
    </row>
    <row r="154" customFormat="false" ht="15" hidden="false" customHeight="false" outlineLevel="0" collapsed="false">
      <c r="A154" s="30"/>
      <c r="B154" s="43"/>
      <c r="C154" s="30"/>
      <c r="D154" s="30"/>
      <c r="E154" s="30"/>
      <c r="F154" s="30"/>
      <c r="G154" s="41"/>
      <c r="H154" s="41"/>
      <c r="I154" s="41"/>
      <c r="J154" s="41"/>
      <c r="K154" s="27"/>
      <c r="L154" s="30"/>
      <c r="M154" s="30"/>
      <c r="N154" s="30"/>
      <c r="O154" s="30"/>
      <c r="P154" s="30"/>
    </row>
    <row r="155" customFormat="false" ht="15" hidden="false" customHeight="false" outlineLevel="0" collapsed="false">
      <c r="A155" s="30"/>
      <c r="B155" s="43"/>
      <c r="C155" s="30"/>
      <c r="D155" s="30"/>
      <c r="E155" s="30"/>
      <c r="F155" s="30"/>
      <c r="G155" s="41"/>
      <c r="H155" s="41"/>
      <c r="I155" s="41"/>
      <c r="J155" s="41"/>
      <c r="K155" s="27"/>
      <c r="L155" s="30"/>
      <c r="M155" s="30"/>
      <c r="N155" s="30"/>
      <c r="O155" s="30"/>
      <c r="P155" s="30"/>
    </row>
    <row r="156" customFormat="false" ht="15" hidden="false" customHeight="false" outlineLevel="0" collapsed="false">
      <c r="A156" s="30"/>
      <c r="B156" s="43"/>
      <c r="C156" s="30"/>
      <c r="D156" s="30"/>
      <c r="E156" s="30"/>
      <c r="F156" s="30"/>
      <c r="G156" s="41"/>
      <c r="H156" s="41"/>
      <c r="I156" s="41"/>
      <c r="J156" s="41"/>
      <c r="K156" s="27"/>
      <c r="L156" s="30"/>
      <c r="M156" s="30"/>
      <c r="N156" s="30"/>
      <c r="O156" s="30"/>
      <c r="P156" s="30"/>
    </row>
    <row r="157" customFormat="false" ht="15" hidden="false" customHeight="false" outlineLevel="0" collapsed="false">
      <c r="A157" s="30"/>
      <c r="B157" s="43"/>
      <c r="C157" s="30"/>
      <c r="D157" s="30"/>
      <c r="E157" s="30"/>
      <c r="F157" s="30"/>
      <c r="G157" s="41"/>
      <c r="H157" s="41"/>
      <c r="I157" s="41"/>
      <c r="J157" s="41"/>
      <c r="K157" s="27"/>
      <c r="L157" s="30"/>
      <c r="M157" s="30"/>
      <c r="N157" s="30"/>
      <c r="O157" s="30"/>
      <c r="P157" s="30"/>
    </row>
    <row r="158" customFormat="false" ht="15" hidden="false" customHeight="false" outlineLevel="0" collapsed="false">
      <c r="A158" s="30"/>
      <c r="B158" s="43"/>
      <c r="C158" s="30"/>
      <c r="D158" s="30"/>
      <c r="E158" s="30"/>
      <c r="F158" s="30"/>
      <c r="G158" s="41"/>
      <c r="H158" s="41"/>
      <c r="I158" s="41"/>
      <c r="J158" s="41"/>
      <c r="K158" s="27"/>
      <c r="L158" s="30"/>
      <c r="M158" s="30"/>
      <c r="N158" s="30"/>
      <c r="O158" s="30"/>
      <c r="P158" s="30"/>
    </row>
    <row r="159" customFormat="false" ht="15" hidden="false" customHeight="false" outlineLevel="0" collapsed="false">
      <c r="A159" s="30"/>
      <c r="B159" s="43"/>
      <c r="C159" s="30"/>
      <c r="D159" s="30"/>
      <c r="E159" s="30"/>
      <c r="F159" s="30"/>
      <c r="G159" s="41"/>
      <c r="H159" s="41"/>
      <c r="I159" s="41"/>
      <c r="J159" s="41"/>
      <c r="K159" s="27"/>
      <c r="L159" s="30"/>
      <c r="M159" s="30"/>
      <c r="N159" s="30"/>
      <c r="O159" s="30"/>
      <c r="P159" s="30"/>
    </row>
    <row r="160" customFormat="false" ht="15" hidden="false" customHeight="false" outlineLevel="0" collapsed="false">
      <c r="A160" s="30"/>
      <c r="B160" s="43"/>
      <c r="C160" s="30"/>
      <c r="D160" s="30"/>
      <c r="E160" s="30"/>
      <c r="F160" s="30"/>
      <c r="G160" s="41"/>
      <c r="H160" s="41"/>
      <c r="I160" s="41"/>
      <c r="J160" s="41"/>
      <c r="K160" s="27"/>
      <c r="L160" s="30"/>
      <c r="M160" s="30"/>
      <c r="N160" s="30"/>
      <c r="O160" s="30"/>
      <c r="P160" s="30"/>
    </row>
    <row r="161" customFormat="false" ht="15" hidden="false" customHeight="false" outlineLevel="0" collapsed="false">
      <c r="A161" s="30"/>
      <c r="B161" s="43"/>
      <c r="C161" s="30"/>
      <c r="D161" s="30"/>
      <c r="E161" s="30"/>
      <c r="F161" s="30"/>
      <c r="G161" s="41"/>
      <c r="H161" s="41"/>
      <c r="I161" s="41"/>
      <c r="J161" s="41"/>
      <c r="K161" s="27"/>
      <c r="L161" s="30"/>
      <c r="M161" s="30"/>
      <c r="N161" s="30"/>
      <c r="O161" s="30"/>
      <c r="P161" s="30"/>
    </row>
    <row r="162" customFormat="false" ht="15" hidden="false" customHeight="false" outlineLevel="0" collapsed="false">
      <c r="A162" s="30"/>
      <c r="B162" s="43"/>
      <c r="C162" s="30"/>
      <c r="D162" s="30"/>
      <c r="E162" s="30"/>
      <c r="F162" s="30"/>
      <c r="G162" s="41"/>
      <c r="H162" s="41"/>
      <c r="I162" s="41"/>
      <c r="J162" s="41"/>
      <c r="K162" s="27"/>
      <c r="L162" s="30"/>
      <c r="M162" s="30"/>
      <c r="N162" s="30"/>
      <c r="O162" s="30"/>
      <c r="P162" s="30"/>
    </row>
    <row r="163" customFormat="false" ht="15" hidden="false" customHeight="false" outlineLevel="0" collapsed="false">
      <c r="A163" s="30"/>
      <c r="B163" s="43"/>
      <c r="C163" s="30"/>
      <c r="D163" s="30"/>
      <c r="E163" s="30"/>
      <c r="F163" s="30"/>
      <c r="G163" s="41"/>
      <c r="H163" s="41"/>
      <c r="I163" s="41"/>
      <c r="J163" s="41"/>
      <c r="K163" s="27"/>
      <c r="L163" s="30"/>
      <c r="M163" s="30"/>
      <c r="N163" s="30"/>
      <c r="O163" s="30"/>
      <c r="P163" s="30"/>
    </row>
    <row r="164" customFormat="false" ht="15" hidden="false" customHeight="false" outlineLevel="0" collapsed="false">
      <c r="A164" s="30"/>
      <c r="B164" s="43"/>
      <c r="C164" s="30"/>
      <c r="D164" s="30"/>
      <c r="E164" s="30"/>
      <c r="F164" s="30"/>
      <c r="G164" s="41"/>
      <c r="H164" s="41"/>
      <c r="I164" s="41"/>
      <c r="J164" s="41"/>
      <c r="K164" s="27"/>
      <c r="L164" s="30"/>
      <c r="M164" s="30"/>
      <c r="N164" s="30"/>
      <c r="O164" s="30"/>
      <c r="P164" s="30"/>
    </row>
    <row r="165" customFormat="false" ht="15" hidden="false" customHeight="false" outlineLevel="0" collapsed="false">
      <c r="A165" s="30"/>
      <c r="B165" s="43"/>
      <c r="C165" s="30"/>
      <c r="D165" s="30"/>
      <c r="E165" s="30"/>
      <c r="F165" s="30"/>
      <c r="G165" s="41"/>
      <c r="H165" s="41"/>
      <c r="I165" s="41"/>
      <c r="J165" s="41"/>
      <c r="K165" s="27"/>
      <c r="L165" s="30"/>
      <c r="M165" s="30"/>
      <c r="N165" s="30"/>
      <c r="O165" s="30"/>
      <c r="P165" s="30"/>
    </row>
    <row r="166" customFormat="false" ht="15" hidden="false" customHeight="false" outlineLevel="0" collapsed="false">
      <c r="A166" s="30"/>
      <c r="B166" s="43"/>
      <c r="C166" s="30"/>
      <c r="D166" s="30"/>
      <c r="E166" s="30"/>
      <c r="F166" s="30"/>
      <c r="G166" s="41"/>
      <c r="H166" s="41"/>
      <c r="I166" s="41"/>
      <c r="J166" s="41"/>
      <c r="K166" s="27"/>
      <c r="L166" s="30"/>
      <c r="M166" s="30"/>
      <c r="N166" s="30"/>
      <c r="O166" s="30"/>
      <c r="P166" s="30"/>
    </row>
    <row r="167" customFormat="false" ht="15" hidden="false" customHeight="false" outlineLevel="0" collapsed="false">
      <c r="A167" s="30"/>
      <c r="B167" s="43"/>
      <c r="C167" s="30"/>
      <c r="D167" s="30"/>
      <c r="E167" s="30"/>
      <c r="F167" s="30"/>
      <c r="G167" s="41"/>
      <c r="H167" s="41"/>
      <c r="I167" s="41"/>
      <c r="J167" s="41"/>
      <c r="K167" s="27"/>
      <c r="L167" s="30"/>
      <c r="M167" s="30"/>
      <c r="N167" s="30"/>
      <c r="O167" s="30"/>
      <c r="P167" s="30"/>
    </row>
    <row r="168" customFormat="false" ht="15" hidden="false" customHeight="false" outlineLevel="0" collapsed="false">
      <c r="A168" s="30"/>
      <c r="B168" s="43"/>
      <c r="C168" s="30"/>
      <c r="D168" s="30"/>
      <c r="E168" s="30"/>
      <c r="F168" s="30"/>
      <c r="G168" s="41"/>
      <c r="H168" s="41"/>
      <c r="I168" s="41"/>
      <c r="J168" s="41"/>
      <c r="K168" s="27"/>
      <c r="L168" s="30"/>
      <c r="M168" s="30"/>
      <c r="N168" s="30"/>
      <c r="O168" s="30"/>
      <c r="P168" s="30"/>
    </row>
    <row r="169" customFormat="false" ht="15" hidden="false" customHeight="false" outlineLevel="0" collapsed="false">
      <c r="A169" s="30"/>
      <c r="B169" s="43"/>
      <c r="C169" s="30"/>
      <c r="D169" s="30"/>
      <c r="E169" s="30"/>
      <c r="F169" s="30"/>
      <c r="G169" s="41"/>
      <c r="H169" s="41"/>
      <c r="I169" s="41"/>
      <c r="J169" s="41"/>
      <c r="K169" s="27"/>
      <c r="L169" s="30"/>
      <c r="M169" s="30"/>
      <c r="N169" s="30"/>
      <c r="O169" s="30"/>
      <c r="P169" s="30"/>
    </row>
    <row r="170" customFormat="false" ht="15" hidden="false" customHeight="false" outlineLevel="0" collapsed="false">
      <c r="A170" s="30"/>
      <c r="B170" s="43"/>
      <c r="C170" s="30"/>
      <c r="D170" s="30"/>
      <c r="E170" s="30"/>
      <c r="F170" s="30"/>
      <c r="G170" s="41"/>
      <c r="H170" s="41"/>
      <c r="I170" s="41"/>
      <c r="J170" s="41"/>
      <c r="K170" s="27"/>
      <c r="L170" s="30"/>
      <c r="M170" s="30"/>
      <c r="N170" s="30"/>
      <c r="O170" s="30"/>
      <c r="P170" s="30"/>
    </row>
    <row r="171" customFormat="false" ht="15" hidden="false" customHeight="false" outlineLevel="0" collapsed="false">
      <c r="A171" s="30"/>
      <c r="B171" s="43"/>
      <c r="C171" s="30"/>
      <c r="D171" s="30"/>
      <c r="E171" s="30"/>
      <c r="F171" s="30"/>
      <c r="G171" s="41"/>
      <c r="H171" s="41"/>
      <c r="I171" s="41"/>
      <c r="J171" s="41"/>
      <c r="K171" s="27"/>
      <c r="L171" s="30"/>
      <c r="M171" s="30"/>
      <c r="N171" s="30"/>
      <c r="O171" s="30"/>
      <c r="P171" s="30"/>
    </row>
    <row r="172" customFormat="false" ht="15" hidden="false" customHeight="false" outlineLevel="0" collapsed="false">
      <c r="A172" s="30"/>
      <c r="B172" s="43"/>
      <c r="C172" s="30"/>
      <c r="D172" s="30"/>
      <c r="E172" s="30"/>
      <c r="F172" s="30"/>
      <c r="G172" s="41"/>
      <c r="H172" s="41"/>
      <c r="I172" s="41"/>
      <c r="J172" s="41"/>
      <c r="K172" s="27"/>
      <c r="L172" s="30"/>
      <c r="M172" s="30"/>
      <c r="N172" s="30"/>
      <c r="O172" s="30"/>
      <c r="P172" s="30"/>
    </row>
    <row r="173" customFormat="false" ht="15" hidden="false" customHeight="false" outlineLevel="0" collapsed="false">
      <c r="A173" s="30"/>
      <c r="B173" s="43"/>
      <c r="C173" s="30"/>
      <c r="D173" s="30"/>
      <c r="E173" s="30"/>
      <c r="F173" s="30"/>
      <c r="G173" s="41"/>
      <c r="H173" s="41"/>
      <c r="I173" s="41"/>
      <c r="J173" s="41"/>
      <c r="K173" s="27"/>
      <c r="L173" s="30"/>
      <c r="M173" s="30"/>
      <c r="N173" s="30"/>
      <c r="O173" s="30"/>
      <c r="P173" s="30"/>
    </row>
    <row r="174" customFormat="false" ht="15" hidden="false" customHeight="false" outlineLevel="0" collapsed="false">
      <c r="A174" s="30"/>
      <c r="B174" s="43"/>
      <c r="C174" s="30"/>
      <c r="D174" s="30"/>
      <c r="E174" s="30"/>
      <c r="F174" s="30"/>
      <c r="G174" s="41"/>
      <c r="H174" s="41"/>
      <c r="I174" s="41"/>
      <c r="J174" s="41"/>
      <c r="K174" s="27"/>
      <c r="L174" s="30"/>
      <c r="M174" s="30"/>
      <c r="N174" s="30"/>
      <c r="O174" s="30"/>
      <c r="P174" s="30"/>
    </row>
    <row r="175" customFormat="false" ht="15" hidden="false" customHeight="false" outlineLevel="0" collapsed="false">
      <c r="A175" s="30"/>
      <c r="B175" s="43"/>
      <c r="C175" s="30"/>
      <c r="D175" s="30"/>
      <c r="E175" s="30"/>
      <c r="F175" s="30"/>
      <c r="G175" s="41"/>
      <c r="H175" s="41"/>
      <c r="I175" s="41"/>
      <c r="J175" s="41"/>
      <c r="K175" s="27"/>
      <c r="L175" s="30"/>
      <c r="M175" s="30"/>
      <c r="N175" s="30"/>
      <c r="O175" s="30"/>
      <c r="P175" s="30"/>
    </row>
    <row r="176" customFormat="false" ht="15" hidden="false" customHeight="false" outlineLevel="0" collapsed="false">
      <c r="A176" s="30"/>
      <c r="B176" s="43"/>
      <c r="C176" s="30"/>
      <c r="D176" s="30"/>
      <c r="E176" s="30"/>
      <c r="F176" s="30"/>
      <c r="G176" s="41"/>
      <c r="H176" s="41"/>
      <c r="I176" s="41"/>
      <c r="J176" s="41"/>
      <c r="K176" s="27"/>
      <c r="L176" s="30"/>
      <c r="M176" s="30"/>
      <c r="N176" s="30"/>
      <c r="O176" s="30"/>
      <c r="P176" s="30"/>
    </row>
    <row r="177" customFormat="false" ht="15" hidden="false" customHeight="false" outlineLevel="0" collapsed="false">
      <c r="A177" s="30"/>
      <c r="B177" s="43"/>
      <c r="C177" s="30"/>
      <c r="D177" s="30"/>
      <c r="E177" s="30"/>
      <c r="F177" s="30"/>
      <c r="G177" s="41"/>
      <c r="H177" s="41"/>
      <c r="I177" s="41"/>
      <c r="J177" s="41"/>
      <c r="K177" s="27"/>
      <c r="L177" s="30"/>
      <c r="M177" s="30"/>
      <c r="N177" s="30"/>
      <c r="O177" s="30"/>
      <c r="P177" s="30"/>
    </row>
    <row r="178" customFormat="false" ht="15" hidden="false" customHeight="false" outlineLevel="0" collapsed="false">
      <c r="A178" s="30"/>
      <c r="B178" s="43"/>
      <c r="C178" s="30"/>
      <c r="D178" s="30"/>
      <c r="E178" s="30"/>
      <c r="F178" s="30"/>
      <c r="G178" s="41"/>
      <c r="H178" s="41"/>
      <c r="I178" s="41"/>
      <c r="J178" s="41"/>
      <c r="K178" s="27"/>
      <c r="L178" s="30"/>
      <c r="M178" s="30"/>
      <c r="N178" s="30"/>
      <c r="O178" s="30"/>
      <c r="P178" s="30"/>
    </row>
    <row r="179" customFormat="false" ht="15" hidden="false" customHeight="false" outlineLevel="0" collapsed="false">
      <c r="A179" s="30"/>
      <c r="B179" s="43"/>
      <c r="C179" s="30"/>
      <c r="D179" s="30"/>
      <c r="E179" s="30"/>
      <c r="F179" s="30"/>
      <c r="G179" s="41"/>
      <c r="H179" s="41"/>
      <c r="I179" s="41"/>
      <c r="J179" s="41"/>
      <c r="K179" s="27"/>
      <c r="L179" s="30"/>
      <c r="M179" s="30"/>
      <c r="N179" s="30"/>
      <c r="O179" s="30"/>
      <c r="P179" s="30"/>
    </row>
    <row r="180" customFormat="false" ht="15" hidden="false" customHeight="false" outlineLevel="0" collapsed="false">
      <c r="A180" s="30"/>
      <c r="B180" s="43"/>
      <c r="C180" s="30"/>
      <c r="D180" s="30"/>
      <c r="E180" s="30"/>
      <c r="F180" s="30"/>
      <c r="G180" s="41"/>
      <c r="H180" s="41"/>
      <c r="I180" s="41"/>
      <c r="J180" s="41"/>
      <c r="K180" s="27"/>
      <c r="L180" s="30"/>
      <c r="M180" s="30"/>
      <c r="N180" s="30"/>
      <c r="O180" s="30"/>
      <c r="P180" s="30"/>
    </row>
    <row r="181" customFormat="false" ht="15" hidden="false" customHeight="false" outlineLevel="0" collapsed="false">
      <c r="A181" s="30"/>
      <c r="B181" s="43"/>
      <c r="C181" s="30"/>
      <c r="D181" s="30"/>
      <c r="E181" s="30"/>
      <c r="F181" s="30"/>
      <c r="G181" s="41"/>
      <c r="H181" s="41"/>
      <c r="I181" s="41"/>
      <c r="J181" s="41"/>
      <c r="K181" s="27"/>
      <c r="L181" s="30"/>
      <c r="M181" s="30"/>
      <c r="N181" s="30"/>
      <c r="O181" s="30"/>
      <c r="P181" s="30"/>
    </row>
    <row r="182" customFormat="false" ht="15" hidden="false" customHeight="false" outlineLevel="0" collapsed="false">
      <c r="A182" s="30"/>
      <c r="B182" s="43"/>
      <c r="C182" s="30"/>
      <c r="D182" s="30"/>
      <c r="E182" s="30"/>
      <c r="F182" s="30"/>
      <c r="G182" s="41"/>
      <c r="H182" s="41"/>
      <c r="I182" s="41"/>
      <c r="J182" s="41"/>
      <c r="K182" s="27"/>
      <c r="L182" s="30"/>
      <c r="M182" s="30"/>
      <c r="N182" s="30"/>
      <c r="O182" s="30"/>
      <c r="P182" s="30"/>
    </row>
    <row r="183" customFormat="false" ht="15" hidden="false" customHeight="false" outlineLevel="0" collapsed="false">
      <c r="A183" s="30"/>
      <c r="B183" s="43"/>
      <c r="C183" s="30"/>
      <c r="D183" s="30"/>
      <c r="E183" s="30"/>
      <c r="F183" s="30"/>
      <c r="G183" s="41"/>
      <c r="H183" s="41"/>
      <c r="I183" s="41"/>
      <c r="J183" s="41"/>
      <c r="K183" s="27"/>
      <c r="L183" s="30"/>
      <c r="M183" s="30"/>
      <c r="N183" s="30"/>
      <c r="O183" s="30"/>
      <c r="P183" s="30"/>
    </row>
    <row r="184" customFormat="false" ht="15" hidden="false" customHeight="false" outlineLevel="0" collapsed="false">
      <c r="A184" s="30"/>
      <c r="B184" s="43"/>
      <c r="C184" s="30"/>
      <c r="D184" s="30"/>
      <c r="E184" s="30"/>
      <c r="F184" s="30"/>
      <c r="G184" s="41"/>
      <c r="H184" s="41"/>
      <c r="I184" s="41"/>
      <c r="J184" s="41"/>
      <c r="K184" s="27"/>
      <c r="L184" s="30"/>
      <c r="M184" s="30"/>
      <c r="N184" s="30"/>
      <c r="O184" s="30"/>
      <c r="P184" s="30"/>
    </row>
    <row r="185" customFormat="false" ht="15" hidden="false" customHeight="false" outlineLevel="0" collapsed="false">
      <c r="A185" s="30"/>
      <c r="B185" s="43"/>
      <c r="C185" s="30"/>
      <c r="D185" s="30"/>
      <c r="E185" s="30"/>
      <c r="F185" s="30"/>
      <c r="G185" s="41"/>
      <c r="H185" s="41"/>
      <c r="I185" s="41"/>
      <c r="J185" s="41"/>
      <c r="K185" s="27"/>
      <c r="L185" s="30"/>
      <c r="M185" s="30"/>
      <c r="N185" s="30"/>
      <c r="O185" s="30"/>
      <c r="P185" s="30"/>
    </row>
    <row r="186" customFormat="false" ht="15" hidden="false" customHeight="false" outlineLevel="0" collapsed="false">
      <c r="A186" s="30"/>
      <c r="B186" s="43"/>
      <c r="C186" s="30"/>
      <c r="D186" s="30"/>
      <c r="E186" s="30"/>
      <c r="F186" s="30"/>
      <c r="G186" s="41"/>
      <c r="H186" s="41"/>
      <c r="I186" s="41"/>
      <c r="J186" s="41"/>
      <c r="K186" s="27"/>
      <c r="L186" s="30"/>
      <c r="M186" s="30"/>
      <c r="N186" s="30"/>
      <c r="O186" s="30"/>
      <c r="P186" s="30"/>
    </row>
    <row r="187" customFormat="false" ht="15" hidden="false" customHeight="false" outlineLevel="0" collapsed="false">
      <c r="A187" s="30"/>
      <c r="B187" s="43"/>
      <c r="C187" s="30"/>
      <c r="D187" s="30"/>
      <c r="E187" s="30"/>
      <c r="F187" s="30"/>
      <c r="G187" s="41"/>
      <c r="H187" s="41"/>
      <c r="I187" s="41"/>
      <c r="J187" s="41"/>
      <c r="K187" s="27"/>
      <c r="L187" s="30"/>
      <c r="M187" s="30"/>
      <c r="N187" s="30"/>
      <c r="O187" s="30"/>
      <c r="P187" s="30"/>
    </row>
    <row r="188" customFormat="false" ht="15" hidden="false" customHeight="false" outlineLevel="0" collapsed="false">
      <c r="A188" s="30"/>
      <c r="B188" s="43"/>
      <c r="C188" s="30"/>
      <c r="D188" s="30"/>
      <c r="E188" s="30"/>
      <c r="F188" s="30"/>
      <c r="G188" s="41"/>
      <c r="H188" s="41"/>
      <c r="I188" s="41"/>
      <c r="J188" s="41"/>
      <c r="K188" s="27"/>
      <c r="L188" s="30"/>
      <c r="M188" s="30"/>
      <c r="N188" s="30"/>
      <c r="O188" s="30"/>
      <c r="P188" s="30"/>
    </row>
    <row r="189" customFormat="false" ht="15" hidden="false" customHeight="false" outlineLevel="0" collapsed="false">
      <c r="A189" s="30"/>
      <c r="B189" s="43"/>
      <c r="C189" s="30"/>
      <c r="D189" s="30"/>
      <c r="E189" s="30"/>
      <c r="F189" s="30"/>
      <c r="G189" s="41"/>
      <c r="H189" s="41"/>
      <c r="I189" s="41"/>
      <c r="J189" s="41"/>
      <c r="K189" s="27"/>
      <c r="L189" s="30"/>
      <c r="M189" s="30"/>
      <c r="N189" s="30"/>
      <c r="O189" s="30"/>
      <c r="P189" s="30"/>
    </row>
    <row r="190" customFormat="false" ht="15" hidden="false" customHeight="false" outlineLevel="0" collapsed="false">
      <c r="A190" s="30"/>
      <c r="B190" s="43"/>
      <c r="C190" s="30"/>
      <c r="D190" s="30"/>
      <c r="E190" s="30"/>
      <c r="F190" s="30"/>
      <c r="G190" s="41"/>
      <c r="H190" s="41"/>
      <c r="I190" s="41"/>
      <c r="J190" s="41"/>
      <c r="K190" s="27"/>
      <c r="L190" s="30"/>
      <c r="M190" s="30"/>
      <c r="N190" s="30"/>
      <c r="O190" s="30"/>
      <c r="P190" s="30"/>
    </row>
    <row r="191" customFormat="false" ht="15" hidden="false" customHeight="false" outlineLevel="0" collapsed="false">
      <c r="A191" s="30"/>
      <c r="B191" s="43"/>
      <c r="C191" s="30"/>
      <c r="D191" s="30"/>
      <c r="E191" s="30"/>
      <c r="F191" s="30"/>
      <c r="G191" s="41"/>
      <c r="H191" s="41"/>
      <c r="I191" s="41"/>
      <c r="J191" s="41"/>
      <c r="K191" s="27"/>
      <c r="L191" s="30"/>
      <c r="M191" s="30"/>
      <c r="N191" s="30"/>
      <c r="O191" s="30"/>
      <c r="P191" s="30"/>
    </row>
    <row r="192" customFormat="false" ht="15" hidden="false" customHeight="false" outlineLevel="0" collapsed="false">
      <c r="A192" s="30"/>
      <c r="B192" s="43"/>
      <c r="C192" s="30"/>
      <c r="D192" s="30"/>
      <c r="E192" s="30"/>
      <c r="F192" s="30"/>
      <c r="G192" s="41"/>
      <c r="H192" s="41"/>
      <c r="I192" s="41"/>
      <c r="J192" s="41"/>
      <c r="K192" s="27"/>
      <c r="L192" s="30"/>
      <c r="M192" s="30"/>
      <c r="N192" s="30"/>
      <c r="O192" s="30"/>
      <c r="P192" s="30"/>
    </row>
    <row r="193" customFormat="false" ht="15" hidden="false" customHeight="false" outlineLevel="0" collapsed="false">
      <c r="A193" s="30"/>
      <c r="B193" s="43"/>
      <c r="C193" s="30"/>
      <c r="D193" s="30"/>
      <c r="E193" s="30"/>
      <c r="F193" s="30"/>
      <c r="G193" s="41"/>
      <c r="H193" s="41"/>
      <c r="I193" s="41"/>
      <c r="J193" s="41"/>
      <c r="K193" s="27"/>
      <c r="L193" s="30"/>
      <c r="M193" s="30"/>
      <c r="N193" s="30"/>
      <c r="O193" s="30"/>
      <c r="P193" s="30"/>
    </row>
    <row r="194" customFormat="false" ht="15" hidden="false" customHeight="false" outlineLevel="0" collapsed="false">
      <c r="A194" s="30"/>
      <c r="B194" s="43"/>
      <c r="C194" s="30"/>
      <c r="D194" s="30"/>
      <c r="E194" s="30"/>
      <c r="F194" s="30"/>
      <c r="G194" s="41"/>
      <c r="H194" s="41"/>
      <c r="I194" s="41"/>
      <c r="J194" s="41"/>
      <c r="K194" s="27"/>
      <c r="L194" s="30"/>
      <c r="M194" s="30"/>
      <c r="N194" s="30"/>
      <c r="O194" s="30"/>
      <c r="P194" s="30"/>
    </row>
    <row r="195" customFormat="false" ht="15" hidden="false" customHeight="false" outlineLevel="0" collapsed="false">
      <c r="A195" s="30"/>
      <c r="B195" s="43"/>
      <c r="C195" s="30"/>
      <c r="D195" s="30"/>
      <c r="E195" s="30"/>
      <c r="F195" s="30"/>
      <c r="G195" s="41"/>
      <c r="H195" s="41"/>
      <c r="I195" s="41"/>
      <c r="J195" s="41"/>
      <c r="K195" s="27"/>
      <c r="L195" s="30"/>
      <c r="M195" s="30"/>
      <c r="N195" s="30"/>
      <c r="O195" s="30"/>
      <c r="P195" s="30"/>
    </row>
    <row r="196" customFormat="false" ht="15" hidden="false" customHeight="false" outlineLevel="0" collapsed="false">
      <c r="A196" s="30"/>
      <c r="B196" s="43"/>
      <c r="C196" s="30"/>
      <c r="D196" s="30"/>
      <c r="E196" s="30"/>
      <c r="F196" s="30"/>
      <c r="G196" s="41"/>
      <c r="H196" s="41"/>
      <c r="I196" s="41"/>
      <c r="J196" s="41"/>
      <c r="K196" s="27"/>
      <c r="L196" s="30"/>
      <c r="M196" s="30"/>
      <c r="N196" s="30"/>
      <c r="O196" s="30"/>
      <c r="P196" s="30"/>
    </row>
    <row r="197" customFormat="false" ht="15" hidden="false" customHeight="false" outlineLevel="0" collapsed="false">
      <c r="A197" s="30"/>
      <c r="B197" s="43"/>
      <c r="C197" s="30"/>
      <c r="D197" s="30"/>
      <c r="E197" s="30"/>
      <c r="F197" s="30"/>
      <c r="G197" s="41"/>
      <c r="H197" s="41"/>
      <c r="I197" s="41"/>
      <c r="J197" s="41"/>
      <c r="K197" s="27"/>
      <c r="L197" s="30"/>
      <c r="M197" s="30"/>
      <c r="N197" s="30"/>
      <c r="O197" s="30"/>
      <c r="P197" s="30"/>
    </row>
    <row r="198" customFormat="false" ht="15" hidden="false" customHeight="false" outlineLevel="0" collapsed="false">
      <c r="A198" s="30"/>
      <c r="B198" s="43"/>
      <c r="C198" s="30"/>
      <c r="D198" s="30"/>
      <c r="E198" s="30"/>
      <c r="F198" s="30"/>
      <c r="G198" s="41"/>
      <c r="H198" s="41"/>
      <c r="I198" s="41"/>
      <c r="J198" s="41"/>
      <c r="K198" s="27"/>
      <c r="L198" s="30"/>
      <c r="M198" s="30"/>
      <c r="N198" s="30"/>
      <c r="O198" s="30"/>
      <c r="P198" s="30"/>
    </row>
    <row r="199" customFormat="false" ht="15" hidden="false" customHeight="false" outlineLevel="0" collapsed="false">
      <c r="A199" s="30"/>
      <c r="B199" s="43"/>
      <c r="C199" s="30"/>
      <c r="D199" s="30"/>
      <c r="E199" s="30"/>
      <c r="F199" s="30"/>
      <c r="G199" s="41"/>
      <c r="H199" s="41"/>
      <c r="I199" s="41"/>
      <c r="J199" s="41"/>
      <c r="K199" s="27"/>
      <c r="L199" s="30"/>
      <c r="M199" s="30"/>
      <c r="N199" s="30"/>
      <c r="O199" s="30"/>
      <c r="P199" s="30"/>
    </row>
    <row r="200" customFormat="false" ht="15" hidden="false" customHeight="false" outlineLevel="0" collapsed="false">
      <c r="A200" s="30"/>
      <c r="B200" s="43"/>
      <c r="C200" s="30"/>
      <c r="D200" s="30"/>
      <c r="E200" s="30"/>
      <c r="F200" s="30"/>
      <c r="G200" s="41"/>
      <c r="H200" s="41"/>
      <c r="I200" s="41"/>
      <c r="J200" s="41"/>
      <c r="K200" s="27"/>
      <c r="L200" s="30"/>
      <c r="M200" s="30"/>
      <c r="N200" s="30"/>
      <c r="O200" s="30"/>
      <c r="P200" s="30"/>
    </row>
    <row r="201" customFormat="false" ht="15" hidden="false" customHeight="false" outlineLevel="0" collapsed="false">
      <c r="A201" s="30"/>
      <c r="B201" s="43"/>
      <c r="C201" s="30"/>
      <c r="D201" s="30"/>
      <c r="E201" s="30"/>
      <c r="F201" s="30"/>
      <c r="G201" s="41"/>
      <c r="H201" s="41"/>
      <c r="I201" s="41"/>
      <c r="J201" s="41"/>
      <c r="K201" s="27"/>
      <c r="L201" s="30"/>
      <c r="M201" s="30"/>
      <c r="N201" s="30"/>
      <c r="O201" s="30"/>
      <c r="P201" s="30"/>
    </row>
    <row r="202" customFormat="false" ht="15" hidden="false" customHeight="false" outlineLevel="0" collapsed="false">
      <c r="A202" s="30"/>
      <c r="B202" s="43"/>
      <c r="C202" s="30"/>
      <c r="D202" s="30"/>
      <c r="E202" s="30"/>
      <c r="F202" s="30"/>
      <c r="G202" s="41"/>
      <c r="H202" s="41"/>
      <c r="I202" s="41"/>
      <c r="J202" s="41"/>
      <c r="K202" s="27"/>
      <c r="L202" s="30"/>
      <c r="M202" s="30"/>
      <c r="N202" s="30"/>
      <c r="O202" s="30"/>
      <c r="P202" s="30"/>
    </row>
    <row r="203" customFormat="false" ht="15" hidden="false" customHeight="false" outlineLevel="0" collapsed="false">
      <c r="A203" s="30"/>
      <c r="B203" s="43"/>
      <c r="C203" s="30"/>
      <c r="D203" s="30"/>
      <c r="E203" s="30"/>
      <c r="F203" s="30"/>
      <c r="G203" s="41"/>
      <c r="H203" s="41"/>
      <c r="I203" s="41"/>
      <c r="J203" s="41"/>
      <c r="K203" s="27"/>
      <c r="L203" s="30"/>
      <c r="M203" s="30"/>
      <c r="N203" s="30"/>
      <c r="O203" s="30"/>
      <c r="P203" s="30"/>
    </row>
    <row r="204" customFormat="false" ht="15" hidden="false" customHeight="false" outlineLevel="0" collapsed="false">
      <c r="A204" s="30"/>
      <c r="B204" s="43"/>
      <c r="C204" s="30"/>
      <c r="D204" s="30"/>
      <c r="E204" s="30"/>
      <c r="F204" s="30"/>
      <c r="G204" s="41"/>
      <c r="H204" s="41"/>
      <c r="I204" s="41"/>
      <c r="J204" s="41"/>
      <c r="K204" s="27"/>
      <c r="L204" s="30"/>
      <c r="M204" s="30"/>
      <c r="N204" s="30"/>
      <c r="O204" s="30"/>
      <c r="P204" s="30"/>
    </row>
    <row r="205" customFormat="false" ht="15" hidden="false" customHeight="false" outlineLevel="0" collapsed="false">
      <c r="A205" s="30"/>
      <c r="B205" s="43"/>
      <c r="C205" s="30"/>
      <c r="D205" s="30"/>
      <c r="E205" s="30"/>
      <c r="F205" s="30"/>
      <c r="G205" s="41"/>
      <c r="H205" s="41"/>
      <c r="I205" s="41"/>
      <c r="J205" s="41"/>
      <c r="K205" s="27"/>
      <c r="L205" s="30"/>
      <c r="M205" s="30"/>
      <c r="N205" s="30"/>
      <c r="O205" s="30"/>
      <c r="P205" s="30"/>
    </row>
    <row r="206" customFormat="false" ht="15" hidden="false" customHeight="false" outlineLevel="0" collapsed="false">
      <c r="A206" s="30"/>
      <c r="B206" s="43"/>
      <c r="C206" s="30"/>
      <c r="D206" s="30"/>
      <c r="E206" s="30"/>
      <c r="F206" s="30"/>
      <c r="G206" s="41"/>
      <c r="H206" s="41"/>
      <c r="I206" s="41"/>
      <c r="J206" s="41"/>
      <c r="K206" s="27"/>
      <c r="L206" s="30"/>
      <c r="M206" s="30"/>
      <c r="N206" s="30"/>
      <c r="O206" s="30"/>
      <c r="P206" s="30"/>
    </row>
    <row r="207" customFormat="false" ht="15" hidden="false" customHeight="false" outlineLevel="0" collapsed="false">
      <c r="A207" s="30"/>
      <c r="B207" s="43"/>
      <c r="C207" s="30"/>
      <c r="D207" s="30"/>
      <c r="E207" s="30"/>
      <c r="F207" s="30"/>
      <c r="G207" s="41"/>
      <c r="H207" s="41"/>
      <c r="I207" s="41"/>
      <c r="J207" s="41"/>
      <c r="K207" s="27"/>
      <c r="L207" s="30"/>
      <c r="M207" s="30"/>
      <c r="N207" s="30"/>
      <c r="O207" s="30"/>
      <c r="P207" s="30"/>
    </row>
    <row r="208" customFormat="false" ht="15" hidden="false" customHeight="false" outlineLevel="0" collapsed="false">
      <c r="A208" s="30"/>
      <c r="B208" s="43"/>
      <c r="C208" s="30"/>
      <c r="D208" s="30"/>
      <c r="E208" s="30"/>
      <c r="F208" s="30"/>
      <c r="G208" s="41"/>
      <c r="H208" s="41"/>
      <c r="I208" s="41"/>
      <c r="J208" s="41"/>
      <c r="K208" s="27"/>
      <c r="L208" s="30"/>
      <c r="M208" s="30"/>
      <c r="N208" s="30"/>
      <c r="O208" s="30"/>
      <c r="P208" s="30"/>
    </row>
    <row r="209" customFormat="false" ht="15" hidden="false" customHeight="false" outlineLevel="0" collapsed="false">
      <c r="A209" s="30"/>
      <c r="B209" s="43"/>
      <c r="C209" s="30"/>
      <c r="D209" s="30"/>
      <c r="E209" s="30"/>
      <c r="F209" s="30"/>
      <c r="G209" s="41"/>
      <c r="H209" s="41"/>
      <c r="I209" s="41"/>
      <c r="J209" s="41"/>
      <c r="K209" s="27"/>
      <c r="L209" s="30"/>
      <c r="M209" s="30"/>
      <c r="N209" s="30"/>
      <c r="O209" s="30"/>
      <c r="P209" s="30"/>
    </row>
    <row r="210" customFormat="false" ht="15" hidden="false" customHeight="false" outlineLevel="0" collapsed="false">
      <c r="A210" s="30"/>
      <c r="B210" s="43"/>
      <c r="C210" s="30"/>
      <c r="D210" s="30"/>
      <c r="E210" s="30"/>
      <c r="F210" s="30"/>
      <c r="G210" s="41"/>
      <c r="H210" s="41"/>
      <c r="I210" s="41"/>
      <c r="J210" s="41"/>
      <c r="K210" s="27"/>
      <c r="L210" s="30"/>
      <c r="M210" s="30"/>
      <c r="N210" s="30"/>
      <c r="O210" s="30"/>
      <c r="P210" s="30"/>
    </row>
    <row r="211" customFormat="false" ht="15" hidden="false" customHeight="false" outlineLevel="0" collapsed="false">
      <c r="A211" s="30"/>
      <c r="B211" s="43"/>
      <c r="C211" s="30"/>
      <c r="D211" s="30"/>
      <c r="E211" s="30"/>
      <c r="F211" s="30"/>
      <c r="G211" s="41"/>
      <c r="H211" s="41"/>
      <c r="I211" s="41"/>
      <c r="J211" s="41"/>
      <c r="K211" s="27"/>
      <c r="L211" s="30"/>
      <c r="M211" s="30"/>
      <c r="N211" s="30"/>
      <c r="O211" s="30"/>
      <c r="P211" s="30"/>
    </row>
    <row r="212" customFormat="false" ht="15" hidden="false" customHeight="false" outlineLevel="0" collapsed="false">
      <c r="A212" s="30"/>
      <c r="B212" s="43"/>
      <c r="C212" s="30"/>
      <c r="D212" s="30"/>
      <c r="E212" s="30"/>
      <c r="F212" s="30"/>
      <c r="G212" s="41"/>
      <c r="H212" s="41"/>
      <c r="I212" s="41"/>
      <c r="J212" s="41"/>
      <c r="K212" s="27"/>
      <c r="L212" s="30"/>
      <c r="M212" s="30"/>
      <c r="N212" s="30"/>
      <c r="O212" s="30"/>
      <c r="P212" s="30"/>
    </row>
    <row r="213" customFormat="false" ht="15" hidden="false" customHeight="false" outlineLevel="0" collapsed="false">
      <c r="A213" s="30"/>
      <c r="B213" s="43"/>
      <c r="C213" s="30"/>
      <c r="D213" s="30"/>
      <c r="E213" s="30"/>
      <c r="F213" s="30"/>
      <c r="G213" s="41"/>
      <c r="H213" s="41"/>
      <c r="I213" s="41"/>
      <c r="J213" s="41"/>
      <c r="K213" s="27"/>
      <c r="L213" s="30"/>
      <c r="M213" s="30"/>
      <c r="N213" s="30"/>
      <c r="O213" s="30"/>
      <c r="P213" s="30"/>
    </row>
    <row r="214" customFormat="false" ht="15" hidden="false" customHeight="false" outlineLevel="0" collapsed="false">
      <c r="A214" s="30"/>
      <c r="B214" s="43"/>
      <c r="C214" s="30"/>
      <c r="D214" s="30"/>
      <c r="E214" s="30"/>
      <c r="F214" s="30"/>
      <c r="G214" s="41"/>
      <c r="H214" s="41"/>
      <c r="I214" s="41"/>
      <c r="J214" s="41"/>
      <c r="K214" s="27"/>
      <c r="L214" s="30"/>
      <c r="M214" s="30"/>
      <c r="N214" s="30"/>
      <c r="O214" s="30"/>
      <c r="P214" s="30"/>
    </row>
    <row r="215" customFormat="false" ht="15" hidden="false" customHeight="false" outlineLevel="0" collapsed="false">
      <c r="A215" s="30"/>
      <c r="B215" s="43"/>
      <c r="C215" s="30"/>
      <c r="D215" s="30"/>
      <c r="E215" s="30"/>
      <c r="F215" s="30"/>
      <c r="G215" s="41"/>
      <c r="H215" s="41"/>
      <c r="I215" s="41"/>
      <c r="J215" s="41"/>
      <c r="K215" s="27"/>
      <c r="L215" s="30"/>
      <c r="M215" s="30"/>
      <c r="N215" s="30"/>
      <c r="O215" s="30"/>
      <c r="P215" s="30"/>
    </row>
    <row r="216" customFormat="false" ht="15" hidden="false" customHeight="false" outlineLevel="0" collapsed="false">
      <c r="A216" s="30"/>
      <c r="B216" s="43"/>
      <c r="C216" s="30"/>
      <c r="D216" s="30"/>
      <c r="E216" s="30"/>
      <c r="F216" s="30"/>
      <c r="G216" s="41"/>
      <c r="H216" s="41"/>
      <c r="I216" s="41"/>
      <c r="J216" s="41"/>
      <c r="K216" s="27"/>
      <c r="L216" s="30"/>
      <c r="M216" s="30"/>
      <c r="N216" s="30"/>
      <c r="O216" s="30"/>
      <c r="P216" s="30"/>
    </row>
    <row r="217" customFormat="false" ht="15" hidden="false" customHeight="false" outlineLevel="0" collapsed="false">
      <c r="A217" s="30"/>
      <c r="B217" s="43"/>
      <c r="C217" s="30"/>
      <c r="D217" s="30"/>
      <c r="E217" s="30"/>
      <c r="F217" s="30"/>
      <c r="G217" s="41"/>
      <c r="H217" s="41"/>
      <c r="I217" s="41"/>
      <c r="J217" s="41"/>
      <c r="K217" s="27"/>
      <c r="L217" s="30"/>
      <c r="M217" s="30"/>
      <c r="N217" s="30"/>
      <c r="O217" s="30"/>
      <c r="P217" s="30"/>
    </row>
    <row r="218" customFormat="false" ht="15" hidden="false" customHeight="false" outlineLevel="0" collapsed="false">
      <c r="A218" s="30"/>
      <c r="B218" s="43"/>
      <c r="C218" s="30"/>
      <c r="D218" s="30"/>
      <c r="E218" s="30"/>
      <c r="F218" s="30"/>
      <c r="G218" s="41"/>
      <c r="H218" s="41"/>
      <c r="I218" s="41"/>
      <c r="J218" s="41"/>
      <c r="K218" s="27"/>
      <c r="L218" s="30"/>
      <c r="M218" s="30"/>
      <c r="N218" s="30"/>
      <c r="O218" s="30"/>
      <c r="P218" s="30"/>
    </row>
    <row r="219" customFormat="false" ht="15" hidden="false" customHeight="false" outlineLevel="0" collapsed="false">
      <c r="A219" s="30"/>
      <c r="B219" s="43"/>
      <c r="C219" s="30"/>
      <c r="D219" s="30"/>
      <c r="E219" s="30"/>
      <c r="F219" s="30"/>
      <c r="G219" s="41"/>
      <c r="H219" s="41"/>
      <c r="I219" s="41"/>
      <c r="J219" s="41"/>
      <c r="K219" s="27"/>
      <c r="L219" s="30"/>
      <c r="M219" s="30"/>
      <c r="N219" s="30"/>
      <c r="O219" s="30"/>
      <c r="P219" s="30"/>
    </row>
    <row r="220" customFormat="false" ht="15" hidden="false" customHeight="false" outlineLevel="0" collapsed="false">
      <c r="A220" s="30"/>
      <c r="B220" s="43"/>
      <c r="C220" s="30"/>
      <c r="D220" s="30"/>
      <c r="E220" s="30"/>
      <c r="F220" s="30"/>
      <c r="G220" s="41"/>
      <c r="H220" s="41"/>
      <c r="I220" s="41"/>
      <c r="J220" s="41"/>
      <c r="K220" s="27"/>
      <c r="L220" s="30"/>
      <c r="M220" s="30"/>
      <c r="N220" s="30"/>
      <c r="O220" s="30"/>
      <c r="P220" s="30"/>
    </row>
    <row r="221" customFormat="false" ht="15" hidden="false" customHeight="false" outlineLevel="0" collapsed="false">
      <c r="A221" s="30"/>
      <c r="B221" s="43"/>
      <c r="C221" s="30"/>
      <c r="D221" s="30"/>
      <c r="E221" s="30"/>
      <c r="F221" s="30"/>
      <c r="G221" s="41"/>
      <c r="H221" s="41"/>
      <c r="I221" s="41"/>
      <c r="J221" s="41"/>
      <c r="K221" s="27"/>
      <c r="L221" s="30"/>
      <c r="M221" s="30"/>
      <c r="N221" s="30"/>
      <c r="O221" s="30"/>
      <c r="P221" s="30"/>
    </row>
    <row r="222" customFormat="false" ht="15" hidden="false" customHeight="false" outlineLevel="0" collapsed="false">
      <c r="A222" s="30"/>
      <c r="B222" s="43"/>
      <c r="C222" s="30"/>
      <c r="D222" s="30"/>
      <c r="E222" s="30"/>
      <c r="F222" s="30"/>
      <c r="G222" s="41"/>
      <c r="H222" s="41"/>
      <c r="I222" s="41"/>
      <c r="J222" s="41"/>
      <c r="K222" s="27"/>
      <c r="L222" s="30"/>
      <c r="M222" s="30"/>
      <c r="N222" s="30"/>
      <c r="O222" s="30"/>
      <c r="P222" s="30"/>
    </row>
    <row r="223" customFormat="false" ht="15" hidden="false" customHeight="false" outlineLevel="0" collapsed="false">
      <c r="A223" s="30"/>
      <c r="B223" s="43"/>
      <c r="C223" s="30"/>
      <c r="D223" s="30"/>
      <c r="E223" s="30"/>
      <c r="F223" s="30"/>
      <c r="G223" s="41"/>
      <c r="H223" s="41"/>
      <c r="I223" s="41"/>
      <c r="J223" s="41"/>
      <c r="K223" s="27"/>
      <c r="L223" s="30"/>
      <c r="M223" s="30"/>
      <c r="N223" s="30"/>
      <c r="O223" s="30"/>
      <c r="P223" s="30"/>
    </row>
    <row r="224" customFormat="false" ht="15" hidden="false" customHeight="false" outlineLevel="0" collapsed="false">
      <c r="A224" s="30"/>
      <c r="B224" s="43"/>
      <c r="C224" s="30"/>
      <c r="D224" s="30"/>
      <c r="E224" s="30"/>
      <c r="F224" s="30"/>
      <c r="G224" s="41"/>
      <c r="H224" s="41"/>
      <c r="I224" s="41"/>
      <c r="J224" s="41"/>
      <c r="K224" s="27"/>
      <c r="L224" s="30"/>
      <c r="M224" s="30"/>
      <c r="N224" s="30"/>
      <c r="O224" s="30"/>
      <c r="P224" s="30"/>
    </row>
    <row r="225" customFormat="false" ht="15" hidden="false" customHeight="false" outlineLevel="0" collapsed="false">
      <c r="A225" s="30"/>
      <c r="B225" s="43"/>
      <c r="C225" s="30"/>
      <c r="D225" s="30"/>
      <c r="E225" s="30"/>
      <c r="F225" s="30"/>
      <c r="G225" s="41"/>
      <c r="H225" s="41"/>
      <c r="I225" s="41"/>
      <c r="J225" s="41"/>
      <c r="K225" s="27"/>
      <c r="L225" s="30"/>
      <c r="M225" s="30"/>
      <c r="N225" s="30"/>
      <c r="O225" s="30"/>
      <c r="P225" s="30"/>
    </row>
    <row r="226" customFormat="false" ht="15" hidden="false" customHeight="false" outlineLevel="0" collapsed="false">
      <c r="A226" s="30"/>
      <c r="B226" s="43"/>
      <c r="C226" s="30"/>
      <c r="D226" s="30"/>
      <c r="E226" s="30"/>
      <c r="F226" s="30"/>
      <c r="G226" s="41"/>
      <c r="H226" s="41"/>
      <c r="I226" s="41"/>
      <c r="J226" s="41"/>
      <c r="K226" s="27"/>
      <c r="L226" s="30"/>
      <c r="M226" s="30"/>
      <c r="N226" s="30"/>
      <c r="O226" s="30"/>
      <c r="P226" s="30"/>
    </row>
    <row r="227" customFormat="false" ht="15" hidden="false" customHeight="false" outlineLevel="0" collapsed="false">
      <c r="A227" s="30"/>
      <c r="B227" s="43"/>
      <c r="C227" s="30"/>
      <c r="D227" s="30"/>
      <c r="E227" s="30"/>
      <c r="F227" s="30"/>
      <c r="G227" s="41"/>
      <c r="H227" s="41"/>
      <c r="I227" s="41"/>
      <c r="J227" s="41"/>
      <c r="K227" s="27"/>
      <c r="L227" s="30"/>
      <c r="M227" s="30"/>
      <c r="N227" s="30"/>
      <c r="O227" s="30"/>
      <c r="P227" s="30"/>
    </row>
    <row r="228" customFormat="false" ht="15" hidden="false" customHeight="false" outlineLevel="0" collapsed="false">
      <c r="A228" s="30"/>
      <c r="B228" s="43"/>
      <c r="C228" s="30"/>
      <c r="D228" s="30"/>
      <c r="E228" s="30"/>
      <c r="F228" s="30"/>
      <c r="G228" s="41"/>
      <c r="H228" s="41"/>
      <c r="I228" s="41"/>
      <c r="J228" s="41"/>
      <c r="K228" s="27"/>
      <c r="L228" s="30"/>
      <c r="M228" s="30"/>
      <c r="N228" s="30"/>
      <c r="O228" s="30"/>
      <c r="P228" s="30"/>
    </row>
    <row r="229" customFormat="false" ht="15" hidden="false" customHeight="false" outlineLevel="0" collapsed="false">
      <c r="A229" s="30"/>
      <c r="B229" s="43"/>
      <c r="C229" s="30"/>
      <c r="D229" s="30"/>
      <c r="E229" s="30"/>
      <c r="F229" s="30"/>
      <c r="G229" s="41"/>
      <c r="H229" s="41"/>
      <c r="I229" s="41"/>
      <c r="J229" s="41"/>
      <c r="K229" s="27"/>
      <c r="L229" s="30"/>
      <c r="M229" s="30"/>
      <c r="N229" s="30"/>
      <c r="O229" s="30"/>
      <c r="P229" s="30"/>
    </row>
    <row r="230" customFormat="false" ht="15" hidden="false" customHeight="false" outlineLevel="0" collapsed="false">
      <c r="A230" s="30"/>
      <c r="B230" s="43"/>
      <c r="C230" s="30"/>
      <c r="D230" s="30"/>
      <c r="E230" s="30"/>
      <c r="F230" s="30"/>
      <c r="G230" s="41"/>
      <c r="H230" s="41"/>
      <c r="I230" s="41"/>
      <c r="J230" s="41"/>
      <c r="K230" s="27"/>
      <c r="L230" s="30"/>
      <c r="M230" s="30"/>
      <c r="N230" s="30"/>
      <c r="O230" s="30"/>
      <c r="P230" s="30"/>
    </row>
    <row r="231" customFormat="false" ht="15" hidden="false" customHeight="false" outlineLevel="0" collapsed="false">
      <c r="A231" s="30"/>
      <c r="B231" s="43"/>
      <c r="C231" s="30"/>
      <c r="D231" s="30"/>
      <c r="E231" s="30"/>
      <c r="F231" s="30"/>
      <c r="G231" s="41"/>
      <c r="H231" s="41"/>
      <c r="I231" s="41"/>
      <c r="J231" s="41"/>
      <c r="K231" s="27"/>
      <c r="L231" s="30"/>
      <c r="M231" s="30"/>
      <c r="N231" s="30"/>
      <c r="O231" s="30"/>
      <c r="P231" s="30"/>
    </row>
    <row r="232" customFormat="false" ht="15" hidden="false" customHeight="false" outlineLevel="0" collapsed="false">
      <c r="A232" s="30"/>
      <c r="B232" s="43"/>
      <c r="C232" s="30"/>
      <c r="D232" s="30"/>
      <c r="E232" s="30"/>
      <c r="F232" s="30"/>
      <c r="G232" s="41"/>
      <c r="H232" s="41"/>
      <c r="I232" s="41"/>
      <c r="J232" s="41"/>
      <c r="K232" s="27"/>
      <c r="L232" s="30"/>
      <c r="M232" s="30"/>
      <c r="N232" s="30"/>
      <c r="O232" s="30"/>
      <c r="P232" s="30"/>
    </row>
    <row r="233" customFormat="false" ht="15" hidden="false" customHeight="false" outlineLevel="0" collapsed="false">
      <c r="A233" s="30"/>
      <c r="B233" s="43"/>
      <c r="C233" s="30"/>
      <c r="D233" s="30"/>
      <c r="E233" s="30"/>
      <c r="F233" s="30"/>
      <c r="G233" s="41"/>
      <c r="H233" s="41"/>
      <c r="I233" s="41"/>
      <c r="J233" s="41"/>
      <c r="K233" s="27"/>
      <c r="L233" s="30"/>
      <c r="M233" s="30"/>
      <c r="N233" s="30"/>
      <c r="O233" s="30"/>
      <c r="P233" s="30"/>
    </row>
    <row r="234" customFormat="false" ht="15" hidden="false" customHeight="false" outlineLevel="0" collapsed="false">
      <c r="A234" s="30"/>
      <c r="B234" s="43"/>
      <c r="C234" s="30"/>
      <c r="D234" s="30"/>
      <c r="E234" s="30"/>
      <c r="F234" s="30"/>
      <c r="G234" s="41"/>
      <c r="H234" s="41"/>
      <c r="I234" s="41"/>
      <c r="J234" s="41"/>
      <c r="K234" s="27"/>
      <c r="L234" s="30"/>
      <c r="M234" s="30"/>
      <c r="N234" s="30"/>
      <c r="O234" s="30"/>
      <c r="P234" s="30"/>
    </row>
    <row r="235" customFormat="false" ht="15" hidden="false" customHeight="false" outlineLevel="0" collapsed="false">
      <c r="A235" s="30"/>
      <c r="B235" s="43"/>
      <c r="C235" s="30"/>
      <c r="D235" s="30"/>
      <c r="E235" s="30"/>
      <c r="F235" s="30"/>
      <c r="G235" s="41"/>
      <c r="H235" s="41"/>
      <c r="I235" s="41"/>
      <c r="J235" s="41"/>
      <c r="K235" s="27"/>
      <c r="L235" s="30"/>
      <c r="M235" s="30"/>
      <c r="N235" s="30"/>
      <c r="O235" s="30"/>
      <c r="P235" s="30"/>
    </row>
    <row r="236" customFormat="false" ht="15" hidden="false" customHeight="false" outlineLevel="0" collapsed="false">
      <c r="A236" s="30"/>
      <c r="B236" s="43"/>
      <c r="C236" s="30"/>
      <c r="D236" s="30"/>
      <c r="E236" s="30"/>
      <c r="F236" s="30"/>
      <c r="G236" s="41"/>
      <c r="H236" s="41"/>
      <c r="I236" s="41"/>
      <c r="J236" s="41"/>
      <c r="K236" s="27"/>
      <c r="L236" s="30"/>
      <c r="M236" s="30"/>
      <c r="N236" s="30"/>
      <c r="O236" s="30"/>
      <c r="P236" s="30"/>
    </row>
    <row r="237" customFormat="false" ht="15" hidden="false" customHeight="false" outlineLevel="0" collapsed="false">
      <c r="A237" s="30"/>
      <c r="B237" s="43"/>
      <c r="C237" s="30"/>
      <c r="D237" s="30"/>
      <c r="E237" s="30"/>
      <c r="F237" s="30"/>
      <c r="G237" s="41"/>
      <c r="H237" s="41"/>
      <c r="I237" s="41"/>
      <c r="J237" s="41"/>
      <c r="K237" s="27"/>
      <c r="L237" s="30"/>
      <c r="M237" s="30"/>
      <c r="N237" s="30"/>
      <c r="O237" s="30"/>
      <c r="P237" s="30"/>
    </row>
    <row r="238" customFormat="false" ht="15" hidden="false" customHeight="false" outlineLevel="0" collapsed="false">
      <c r="A238" s="30"/>
      <c r="B238" s="43"/>
      <c r="C238" s="30"/>
      <c r="D238" s="30"/>
      <c r="E238" s="30"/>
      <c r="F238" s="30"/>
      <c r="G238" s="41"/>
      <c r="H238" s="41"/>
      <c r="I238" s="41"/>
      <c r="J238" s="41"/>
      <c r="K238" s="27"/>
      <c r="L238" s="30"/>
      <c r="M238" s="30"/>
      <c r="N238" s="30"/>
      <c r="O238" s="30"/>
      <c r="P238" s="30"/>
    </row>
    <row r="239" customFormat="false" ht="15" hidden="false" customHeight="false" outlineLevel="0" collapsed="false">
      <c r="A239" s="30"/>
      <c r="B239" s="43"/>
      <c r="C239" s="30"/>
      <c r="D239" s="30"/>
      <c r="E239" s="30"/>
      <c r="F239" s="30"/>
      <c r="G239" s="41"/>
      <c r="H239" s="41"/>
      <c r="I239" s="41"/>
      <c r="J239" s="41"/>
      <c r="K239" s="27"/>
      <c r="L239" s="30"/>
      <c r="M239" s="30"/>
      <c r="N239" s="30"/>
      <c r="O239" s="30"/>
      <c r="P239" s="30"/>
    </row>
    <row r="240" customFormat="false" ht="15" hidden="false" customHeight="false" outlineLevel="0" collapsed="false">
      <c r="A240" s="30"/>
      <c r="B240" s="43"/>
      <c r="C240" s="30"/>
      <c r="D240" s="30"/>
      <c r="E240" s="30"/>
      <c r="F240" s="30"/>
      <c r="G240" s="41"/>
      <c r="H240" s="41"/>
      <c r="I240" s="41"/>
      <c r="J240" s="41"/>
      <c r="K240" s="27"/>
      <c r="L240" s="30"/>
      <c r="M240" s="30"/>
      <c r="N240" s="30"/>
      <c r="O240" s="30"/>
      <c r="P240" s="30"/>
    </row>
    <row r="241" customFormat="false" ht="15" hidden="false" customHeight="false" outlineLevel="0" collapsed="false">
      <c r="A241" s="30"/>
      <c r="B241" s="43"/>
      <c r="C241" s="30"/>
      <c r="D241" s="30"/>
      <c r="E241" s="30"/>
      <c r="F241" s="30"/>
      <c r="G241" s="41"/>
      <c r="H241" s="41"/>
      <c r="I241" s="41"/>
      <c r="J241" s="41"/>
      <c r="K241" s="27"/>
      <c r="L241" s="30"/>
      <c r="M241" s="30"/>
      <c r="N241" s="30"/>
      <c r="O241" s="30"/>
      <c r="P241" s="30"/>
    </row>
    <row r="242" customFormat="false" ht="15" hidden="false" customHeight="false" outlineLevel="0" collapsed="false">
      <c r="A242" s="30"/>
      <c r="B242" s="43"/>
      <c r="C242" s="30"/>
      <c r="D242" s="30"/>
      <c r="E242" s="30"/>
      <c r="F242" s="30"/>
      <c r="G242" s="41"/>
      <c r="H242" s="41"/>
      <c r="I242" s="41"/>
      <c r="J242" s="41"/>
      <c r="K242" s="27"/>
      <c r="L242" s="30"/>
      <c r="M242" s="30"/>
      <c r="N242" s="30"/>
      <c r="O242" s="30"/>
      <c r="P242" s="30"/>
    </row>
    <row r="243" customFormat="false" ht="15" hidden="false" customHeight="false" outlineLevel="0" collapsed="false">
      <c r="A243" s="30"/>
      <c r="B243" s="43"/>
      <c r="C243" s="30"/>
      <c r="D243" s="30"/>
      <c r="E243" s="30"/>
      <c r="F243" s="30"/>
      <c r="G243" s="41"/>
      <c r="H243" s="41"/>
      <c r="I243" s="41"/>
      <c r="J243" s="41"/>
      <c r="K243" s="27"/>
      <c r="L243" s="30"/>
      <c r="M243" s="30"/>
      <c r="N243" s="30"/>
      <c r="O243" s="30"/>
      <c r="P243" s="30"/>
    </row>
    <row r="244" customFormat="false" ht="15" hidden="false" customHeight="false" outlineLevel="0" collapsed="false">
      <c r="A244" s="30"/>
      <c r="B244" s="43"/>
      <c r="C244" s="30"/>
      <c r="D244" s="30"/>
      <c r="E244" s="30"/>
      <c r="F244" s="30"/>
      <c r="G244" s="41"/>
      <c r="H244" s="41"/>
      <c r="I244" s="41"/>
      <c r="J244" s="41"/>
      <c r="K244" s="27"/>
      <c r="L244" s="30"/>
      <c r="M244" s="30"/>
      <c r="N244" s="30"/>
      <c r="O244" s="30"/>
      <c r="P244" s="30"/>
    </row>
    <row r="245" customFormat="false" ht="15" hidden="false" customHeight="false" outlineLevel="0" collapsed="false">
      <c r="A245" s="30"/>
      <c r="B245" s="43"/>
      <c r="C245" s="30"/>
      <c r="D245" s="30"/>
      <c r="E245" s="30"/>
      <c r="F245" s="30"/>
      <c r="G245" s="41"/>
      <c r="H245" s="41"/>
      <c r="I245" s="41"/>
      <c r="J245" s="41"/>
      <c r="K245" s="27"/>
      <c r="L245" s="30"/>
      <c r="M245" s="30"/>
      <c r="N245" s="30"/>
      <c r="O245" s="30"/>
      <c r="P245" s="30"/>
    </row>
    <row r="246" customFormat="false" ht="15" hidden="false" customHeight="false" outlineLevel="0" collapsed="false">
      <c r="A246" s="30"/>
      <c r="B246" s="43"/>
      <c r="C246" s="30"/>
      <c r="D246" s="30"/>
      <c r="E246" s="30"/>
      <c r="F246" s="30"/>
      <c r="G246" s="41"/>
      <c r="H246" s="41"/>
      <c r="I246" s="41"/>
      <c r="J246" s="41"/>
      <c r="K246" s="27"/>
      <c r="L246" s="30"/>
      <c r="M246" s="30"/>
      <c r="N246" s="30"/>
      <c r="O246" s="30"/>
      <c r="P246" s="30"/>
    </row>
    <row r="247" customFormat="false" ht="15" hidden="false" customHeight="false" outlineLevel="0" collapsed="false">
      <c r="A247" s="30"/>
      <c r="B247" s="43"/>
      <c r="C247" s="30"/>
      <c r="D247" s="30"/>
      <c r="E247" s="30"/>
      <c r="F247" s="30"/>
      <c r="G247" s="41"/>
      <c r="H247" s="41"/>
      <c r="I247" s="41"/>
      <c r="J247" s="41"/>
      <c r="K247" s="27"/>
      <c r="L247" s="30"/>
      <c r="M247" s="30"/>
      <c r="N247" s="30"/>
      <c r="O247" s="30"/>
      <c r="P247" s="30"/>
    </row>
    <row r="248" customFormat="false" ht="15" hidden="false" customHeight="false" outlineLevel="0" collapsed="false">
      <c r="A248" s="30"/>
      <c r="B248" s="43"/>
      <c r="C248" s="30"/>
      <c r="D248" s="30"/>
      <c r="E248" s="30"/>
      <c r="F248" s="30"/>
      <c r="G248" s="41"/>
      <c r="H248" s="41"/>
      <c r="I248" s="41"/>
      <c r="J248" s="41"/>
      <c r="K248" s="27"/>
      <c r="L248" s="30"/>
      <c r="M248" s="30"/>
      <c r="N248" s="30"/>
      <c r="O248" s="30"/>
      <c r="P248" s="30"/>
    </row>
    <row r="249" customFormat="false" ht="15" hidden="false" customHeight="false" outlineLevel="0" collapsed="false">
      <c r="A249" s="30"/>
      <c r="B249" s="43"/>
      <c r="C249" s="30"/>
      <c r="D249" s="30"/>
      <c r="E249" s="30"/>
      <c r="F249" s="30"/>
      <c r="G249" s="41"/>
      <c r="H249" s="41"/>
      <c r="I249" s="41"/>
      <c r="J249" s="41"/>
      <c r="K249" s="27"/>
      <c r="L249" s="30"/>
      <c r="M249" s="30"/>
      <c r="N249" s="30"/>
      <c r="O249" s="30"/>
      <c r="P249" s="30"/>
    </row>
    <row r="250" customFormat="false" ht="15" hidden="false" customHeight="false" outlineLevel="0" collapsed="false">
      <c r="A250" s="30"/>
      <c r="B250" s="43"/>
      <c r="C250" s="30"/>
      <c r="D250" s="30"/>
      <c r="E250" s="30"/>
      <c r="F250" s="30"/>
      <c r="G250" s="41"/>
      <c r="H250" s="41"/>
      <c r="I250" s="41"/>
      <c r="J250" s="41"/>
      <c r="K250" s="27"/>
      <c r="L250" s="30"/>
      <c r="M250" s="30"/>
      <c r="N250" s="30"/>
      <c r="O250" s="30"/>
      <c r="P250" s="30"/>
    </row>
    <row r="251" customFormat="false" ht="15" hidden="false" customHeight="false" outlineLevel="0" collapsed="false">
      <c r="A251" s="30"/>
      <c r="B251" s="43"/>
      <c r="C251" s="30"/>
      <c r="D251" s="30"/>
      <c r="E251" s="30"/>
      <c r="F251" s="30"/>
      <c r="G251" s="41"/>
      <c r="H251" s="41"/>
      <c r="I251" s="41"/>
      <c r="J251" s="41"/>
      <c r="K251" s="27"/>
      <c r="L251" s="30"/>
      <c r="M251" s="30"/>
      <c r="N251" s="30"/>
      <c r="O251" s="30"/>
      <c r="P251" s="30"/>
    </row>
    <row r="252" customFormat="false" ht="15" hidden="false" customHeight="false" outlineLevel="0" collapsed="false">
      <c r="A252" s="30"/>
      <c r="B252" s="43"/>
      <c r="C252" s="30"/>
      <c r="D252" s="30"/>
      <c r="E252" s="30"/>
      <c r="F252" s="30"/>
      <c r="G252" s="41"/>
      <c r="H252" s="41"/>
      <c r="I252" s="41"/>
      <c r="J252" s="41"/>
      <c r="K252" s="27"/>
      <c r="L252" s="30"/>
      <c r="M252" s="30"/>
      <c r="N252" s="30"/>
      <c r="O252" s="30"/>
      <c r="P252" s="30"/>
    </row>
    <row r="253" customFormat="false" ht="15" hidden="false" customHeight="false" outlineLevel="0" collapsed="false">
      <c r="A253" s="30"/>
      <c r="B253" s="43"/>
      <c r="C253" s="30"/>
      <c r="D253" s="30"/>
      <c r="E253" s="30"/>
      <c r="F253" s="30"/>
      <c r="G253" s="41"/>
      <c r="H253" s="41"/>
      <c r="I253" s="41"/>
      <c r="J253" s="41"/>
      <c r="K253" s="27"/>
      <c r="L253" s="30"/>
      <c r="M253" s="30"/>
      <c r="N253" s="30"/>
      <c r="O253" s="30"/>
      <c r="P253" s="30"/>
    </row>
    <row r="254" customFormat="false" ht="15" hidden="false" customHeight="false" outlineLevel="0" collapsed="false">
      <c r="A254" s="30"/>
      <c r="B254" s="43"/>
      <c r="C254" s="30"/>
      <c r="D254" s="30"/>
      <c r="E254" s="30"/>
      <c r="F254" s="30"/>
      <c r="G254" s="41"/>
      <c r="H254" s="41"/>
      <c r="I254" s="41"/>
      <c r="J254" s="41"/>
      <c r="K254" s="27"/>
      <c r="L254" s="30"/>
      <c r="M254" s="30"/>
      <c r="N254" s="30"/>
      <c r="O254" s="30"/>
      <c r="P254" s="30"/>
    </row>
    <row r="255" customFormat="false" ht="15" hidden="false" customHeight="false" outlineLevel="0" collapsed="false">
      <c r="A255" s="30"/>
      <c r="B255" s="43"/>
      <c r="C255" s="30"/>
      <c r="D255" s="30"/>
      <c r="E255" s="30"/>
      <c r="F255" s="30"/>
      <c r="G255" s="41"/>
      <c r="H255" s="41"/>
      <c r="I255" s="41"/>
      <c r="J255" s="41"/>
      <c r="K255" s="27"/>
      <c r="L255" s="30"/>
      <c r="M255" s="30"/>
      <c r="N255" s="30"/>
      <c r="O255" s="30"/>
      <c r="P255" s="30"/>
    </row>
    <row r="256" customFormat="false" ht="15" hidden="false" customHeight="false" outlineLevel="0" collapsed="false">
      <c r="A256" s="30"/>
      <c r="B256" s="43"/>
      <c r="C256" s="30"/>
      <c r="D256" s="30"/>
      <c r="E256" s="30"/>
      <c r="F256" s="30"/>
      <c r="G256" s="41"/>
      <c r="H256" s="41"/>
      <c r="I256" s="41"/>
      <c r="J256" s="41"/>
      <c r="K256" s="27"/>
      <c r="L256" s="30"/>
      <c r="M256" s="30"/>
      <c r="N256" s="30"/>
      <c r="O256" s="30"/>
      <c r="P256" s="30"/>
    </row>
    <row r="257" customFormat="false" ht="15" hidden="false" customHeight="false" outlineLevel="0" collapsed="false">
      <c r="A257" s="30"/>
      <c r="B257" s="43"/>
      <c r="C257" s="30"/>
      <c r="D257" s="30"/>
      <c r="E257" s="30"/>
      <c r="F257" s="30"/>
      <c r="G257" s="41"/>
      <c r="H257" s="41"/>
      <c r="I257" s="41"/>
      <c r="J257" s="41"/>
      <c r="K257" s="27"/>
      <c r="L257" s="30"/>
      <c r="M257" s="30"/>
      <c r="N257" s="30"/>
      <c r="O257" s="30"/>
      <c r="P257" s="30"/>
    </row>
    <row r="258" customFormat="false" ht="15" hidden="false" customHeight="false" outlineLevel="0" collapsed="false">
      <c r="A258" s="30"/>
      <c r="B258" s="43"/>
      <c r="C258" s="30"/>
      <c r="D258" s="30"/>
      <c r="E258" s="30"/>
      <c r="F258" s="30"/>
      <c r="G258" s="41"/>
      <c r="H258" s="41"/>
      <c r="I258" s="41"/>
      <c r="J258" s="41"/>
      <c r="K258" s="27"/>
      <c r="L258" s="30"/>
      <c r="M258" s="30"/>
      <c r="N258" s="30"/>
      <c r="O258" s="30"/>
      <c r="P258" s="30"/>
    </row>
    <row r="259" customFormat="false" ht="15" hidden="false" customHeight="false" outlineLevel="0" collapsed="false">
      <c r="A259" s="30"/>
      <c r="B259" s="43"/>
      <c r="C259" s="30"/>
      <c r="D259" s="30"/>
      <c r="E259" s="30"/>
      <c r="F259" s="30"/>
      <c r="G259" s="41"/>
      <c r="H259" s="41"/>
      <c r="I259" s="41"/>
      <c r="J259" s="41"/>
      <c r="K259" s="27"/>
      <c r="L259" s="30"/>
      <c r="M259" s="30"/>
      <c r="N259" s="30"/>
      <c r="O259" s="30"/>
      <c r="P259" s="30"/>
    </row>
    <row r="260" customFormat="false" ht="15" hidden="false" customHeight="false" outlineLevel="0" collapsed="false">
      <c r="A260" s="30"/>
      <c r="B260" s="43"/>
      <c r="C260" s="30"/>
      <c r="D260" s="30"/>
      <c r="E260" s="30"/>
      <c r="F260" s="30"/>
      <c r="G260" s="41"/>
      <c r="H260" s="41"/>
      <c r="I260" s="41"/>
      <c r="J260" s="41"/>
      <c r="K260" s="27"/>
      <c r="L260" s="30"/>
      <c r="M260" s="30"/>
      <c r="N260" s="30"/>
      <c r="O260" s="30"/>
      <c r="P260" s="30"/>
    </row>
    <row r="261" customFormat="false" ht="15" hidden="false" customHeight="false" outlineLevel="0" collapsed="false">
      <c r="A261" s="30"/>
      <c r="B261" s="43"/>
      <c r="C261" s="30"/>
      <c r="D261" s="30"/>
      <c r="E261" s="30"/>
      <c r="F261" s="30"/>
      <c r="G261" s="41"/>
      <c r="H261" s="41"/>
      <c r="I261" s="41"/>
      <c r="J261" s="41"/>
      <c r="K261" s="27"/>
      <c r="L261" s="30"/>
      <c r="M261" s="30"/>
      <c r="N261" s="30"/>
      <c r="O261" s="30"/>
      <c r="P261" s="30"/>
    </row>
    <row r="262" customFormat="false" ht="15" hidden="false" customHeight="false" outlineLevel="0" collapsed="false">
      <c r="A262" s="30"/>
      <c r="B262" s="43"/>
      <c r="C262" s="30"/>
      <c r="D262" s="30"/>
      <c r="E262" s="30"/>
      <c r="F262" s="30"/>
      <c r="G262" s="41"/>
      <c r="H262" s="41"/>
      <c r="I262" s="41"/>
      <c r="J262" s="41"/>
      <c r="K262" s="27"/>
      <c r="L262" s="30"/>
      <c r="M262" s="30"/>
      <c r="N262" s="30"/>
      <c r="O262" s="30"/>
      <c r="P262" s="30"/>
    </row>
    <row r="263" customFormat="false" ht="15" hidden="false" customHeight="false" outlineLevel="0" collapsed="false">
      <c r="A263" s="30"/>
      <c r="B263" s="43"/>
      <c r="C263" s="30"/>
      <c r="D263" s="30"/>
      <c r="E263" s="30"/>
      <c r="F263" s="30"/>
      <c r="G263" s="41"/>
      <c r="H263" s="41"/>
      <c r="I263" s="41"/>
      <c r="J263" s="41"/>
      <c r="K263" s="27"/>
      <c r="L263" s="30"/>
      <c r="M263" s="30"/>
      <c r="N263" s="30"/>
      <c r="O263" s="30"/>
      <c r="P263" s="30"/>
    </row>
    <row r="264" customFormat="false" ht="15" hidden="false" customHeight="false" outlineLevel="0" collapsed="false">
      <c r="A264" s="30"/>
      <c r="B264" s="43"/>
      <c r="C264" s="30"/>
      <c r="D264" s="30"/>
      <c r="E264" s="30"/>
      <c r="F264" s="30"/>
      <c r="G264" s="41"/>
      <c r="H264" s="41"/>
      <c r="I264" s="41"/>
      <c r="J264" s="41"/>
      <c r="K264" s="27"/>
      <c r="L264" s="30"/>
      <c r="M264" s="30"/>
      <c r="N264" s="30"/>
      <c r="O264" s="30"/>
      <c r="P264" s="30"/>
    </row>
    <row r="265" customFormat="false" ht="15" hidden="false" customHeight="false" outlineLevel="0" collapsed="false">
      <c r="A265" s="30"/>
      <c r="B265" s="43"/>
      <c r="C265" s="30"/>
      <c r="D265" s="30"/>
      <c r="E265" s="30"/>
      <c r="F265" s="30"/>
      <c r="G265" s="41"/>
      <c r="H265" s="41"/>
      <c r="I265" s="41"/>
      <c r="J265" s="41"/>
      <c r="K265" s="27"/>
      <c r="L265" s="30"/>
      <c r="M265" s="30"/>
      <c r="N265" s="30"/>
      <c r="O265" s="30"/>
      <c r="P265" s="30"/>
    </row>
    <row r="266" customFormat="false" ht="15" hidden="false" customHeight="false" outlineLevel="0" collapsed="false">
      <c r="A266" s="30"/>
      <c r="B266" s="43"/>
      <c r="C266" s="30"/>
      <c r="D266" s="30"/>
      <c r="E266" s="30"/>
      <c r="F266" s="30"/>
      <c r="G266" s="41"/>
      <c r="H266" s="41"/>
      <c r="I266" s="41"/>
      <c r="J266" s="41"/>
      <c r="K266" s="27"/>
      <c r="L266" s="30"/>
      <c r="M266" s="30"/>
      <c r="N266" s="30"/>
      <c r="O266" s="30"/>
      <c r="P266" s="30"/>
    </row>
    <row r="267" customFormat="false" ht="15" hidden="false" customHeight="false" outlineLevel="0" collapsed="false">
      <c r="A267" s="30"/>
      <c r="B267" s="43"/>
      <c r="C267" s="30"/>
      <c r="D267" s="30"/>
      <c r="E267" s="30"/>
      <c r="F267" s="30"/>
      <c r="G267" s="41"/>
      <c r="H267" s="41"/>
      <c r="I267" s="41"/>
      <c r="J267" s="41"/>
      <c r="K267" s="27"/>
      <c r="L267" s="30"/>
      <c r="M267" s="30"/>
      <c r="N267" s="30"/>
      <c r="O267" s="30"/>
      <c r="P267" s="30"/>
    </row>
    <row r="268" customFormat="false" ht="15" hidden="false" customHeight="false" outlineLevel="0" collapsed="false">
      <c r="A268" s="30"/>
      <c r="B268" s="43"/>
      <c r="C268" s="30"/>
      <c r="D268" s="30"/>
      <c r="E268" s="30"/>
      <c r="F268" s="30"/>
      <c r="G268" s="41"/>
      <c r="H268" s="41"/>
      <c r="I268" s="41"/>
      <c r="J268" s="41"/>
      <c r="K268" s="27"/>
      <c r="L268" s="30"/>
      <c r="M268" s="30"/>
      <c r="N268" s="30"/>
      <c r="O268" s="30"/>
      <c r="P268" s="30"/>
    </row>
    <row r="269" customFormat="false" ht="15" hidden="false" customHeight="false" outlineLevel="0" collapsed="false">
      <c r="A269" s="30"/>
      <c r="B269" s="43"/>
      <c r="C269" s="30"/>
      <c r="D269" s="30"/>
      <c r="E269" s="30"/>
      <c r="F269" s="30"/>
      <c r="G269" s="41"/>
      <c r="H269" s="41"/>
      <c r="I269" s="41"/>
      <c r="J269" s="41"/>
      <c r="K269" s="27"/>
      <c r="L269" s="30"/>
      <c r="M269" s="30"/>
      <c r="N269" s="30"/>
      <c r="O269" s="30"/>
      <c r="P269" s="30"/>
    </row>
    <row r="270" customFormat="false" ht="15" hidden="false" customHeight="false" outlineLevel="0" collapsed="false">
      <c r="A270" s="30"/>
      <c r="B270" s="43"/>
      <c r="C270" s="30"/>
      <c r="D270" s="30"/>
      <c r="E270" s="30"/>
      <c r="F270" s="30"/>
      <c r="G270" s="41"/>
      <c r="H270" s="41"/>
      <c r="I270" s="41"/>
      <c r="J270" s="41"/>
      <c r="K270" s="27"/>
      <c r="L270" s="30"/>
      <c r="M270" s="30"/>
      <c r="N270" s="30"/>
      <c r="O270" s="30"/>
      <c r="P270" s="30"/>
    </row>
    <row r="271" customFormat="false" ht="15" hidden="false" customHeight="false" outlineLevel="0" collapsed="false">
      <c r="A271" s="30"/>
      <c r="B271" s="43"/>
      <c r="C271" s="30"/>
      <c r="D271" s="30"/>
      <c r="E271" s="30"/>
      <c r="F271" s="30"/>
      <c r="G271" s="41"/>
      <c r="H271" s="41"/>
      <c r="I271" s="41"/>
      <c r="J271" s="41"/>
      <c r="K271" s="27"/>
      <c r="L271" s="30"/>
      <c r="M271" s="30"/>
      <c r="N271" s="30"/>
      <c r="O271" s="30"/>
      <c r="P271" s="30"/>
    </row>
    <row r="272" customFormat="false" ht="15" hidden="false" customHeight="false" outlineLevel="0" collapsed="false">
      <c r="A272" s="30"/>
      <c r="B272" s="43"/>
      <c r="C272" s="30"/>
      <c r="D272" s="30"/>
      <c r="E272" s="30"/>
      <c r="F272" s="30"/>
      <c r="G272" s="41"/>
      <c r="H272" s="41"/>
      <c r="I272" s="41"/>
      <c r="J272" s="41"/>
      <c r="K272" s="27"/>
      <c r="L272" s="30"/>
      <c r="M272" s="30"/>
      <c r="N272" s="30"/>
      <c r="O272" s="30"/>
      <c r="P272" s="30"/>
    </row>
    <row r="273" customFormat="false" ht="15" hidden="false" customHeight="false" outlineLevel="0" collapsed="false">
      <c r="A273" s="30"/>
      <c r="B273" s="43"/>
      <c r="C273" s="30"/>
      <c r="D273" s="30"/>
      <c r="E273" s="30"/>
      <c r="F273" s="30"/>
      <c r="G273" s="41"/>
      <c r="H273" s="41"/>
      <c r="I273" s="41"/>
      <c r="J273" s="41"/>
      <c r="K273" s="27"/>
      <c r="L273" s="30"/>
      <c r="M273" s="30"/>
      <c r="N273" s="30"/>
      <c r="O273" s="30"/>
      <c r="P273" s="30"/>
    </row>
    <row r="274" customFormat="false" ht="15" hidden="false" customHeight="false" outlineLevel="0" collapsed="false">
      <c r="A274" s="30"/>
      <c r="B274" s="43"/>
      <c r="C274" s="30"/>
      <c r="D274" s="30"/>
      <c r="E274" s="30"/>
      <c r="F274" s="30"/>
      <c r="G274" s="41"/>
      <c r="H274" s="41"/>
      <c r="I274" s="41"/>
      <c r="J274" s="41"/>
      <c r="K274" s="27"/>
      <c r="L274" s="30"/>
      <c r="M274" s="30"/>
      <c r="N274" s="30"/>
      <c r="O274" s="30"/>
      <c r="P274" s="30"/>
    </row>
    <row r="275" customFormat="false" ht="15" hidden="false" customHeight="false" outlineLevel="0" collapsed="false">
      <c r="A275" s="30"/>
      <c r="B275" s="43"/>
      <c r="C275" s="30"/>
      <c r="D275" s="30"/>
      <c r="E275" s="30"/>
      <c r="F275" s="30"/>
      <c r="G275" s="41"/>
      <c r="H275" s="41"/>
      <c r="I275" s="41"/>
      <c r="J275" s="41"/>
      <c r="K275" s="27"/>
      <c r="L275" s="30"/>
      <c r="M275" s="30"/>
      <c r="N275" s="30"/>
      <c r="O275" s="30"/>
      <c r="P275" s="30"/>
    </row>
    <row r="276" customFormat="false" ht="15" hidden="false" customHeight="false" outlineLevel="0" collapsed="false">
      <c r="A276" s="30"/>
      <c r="B276" s="43"/>
      <c r="C276" s="30"/>
      <c r="D276" s="30"/>
      <c r="E276" s="30"/>
      <c r="F276" s="30"/>
      <c r="G276" s="41"/>
      <c r="H276" s="41"/>
      <c r="I276" s="41"/>
      <c r="J276" s="41"/>
      <c r="K276" s="27"/>
      <c r="L276" s="30"/>
      <c r="M276" s="30"/>
      <c r="N276" s="30"/>
      <c r="O276" s="30"/>
      <c r="P276" s="30"/>
    </row>
    <row r="277" customFormat="false" ht="15" hidden="false" customHeight="false" outlineLevel="0" collapsed="false">
      <c r="A277" s="30"/>
      <c r="B277" s="43"/>
      <c r="C277" s="30"/>
      <c r="D277" s="30"/>
      <c r="E277" s="30"/>
      <c r="F277" s="30"/>
      <c r="G277" s="41"/>
      <c r="H277" s="41"/>
      <c r="I277" s="41"/>
      <c r="J277" s="41"/>
      <c r="K277" s="27"/>
      <c r="L277" s="30"/>
      <c r="M277" s="30"/>
      <c r="N277" s="30"/>
      <c r="O277" s="30"/>
      <c r="P277" s="30"/>
    </row>
    <row r="278" customFormat="false" ht="15" hidden="false" customHeight="false" outlineLevel="0" collapsed="false">
      <c r="A278" s="30"/>
      <c r="B278" s="43"/>
      <c r="C278" s="30"/>
      <c r="D278" s="30"/>
      <c r="E278" s="30"/>
      <c r="F278" s="30"/>
      <c r="G278" s="41"/>
      <c r="H278" s="41"/>
      <c r="I278" s="41"/>
      <c r="J278" s="41"/>
      <c r="K278" s="27"/>
      <c r="L278" s="30"/>
      <c r="M278" s="30"/>
      <c r="N278" s="30"/>
      <c r="O278" s="30"/>
      <c r="P278" s="30"/>
    </row>
    <row r="279" customFormat="false" ht="15" hidden="false" customHeight="false" outlineLevel="0" collapsed="false">
      <c r="A279" s="30"/>
      <c r="B279" s="43"/>
      <c r="C279" s="30"/>
      <c r="D279" s="30"/>
      <c r="E279" s="30"/>
      <c r="F279" s="30"/>
      <c r="G279" s="41"/>
      <c r="H279" s="41"/>
      <c r="I279" s="41"/>
      <c r="J279" s="41"/>
      <c r="K279" s="27"/>
      <c r="L279" s="30"/>
      <c r="M279" s="30"/>
      <c r="N279" s="30"/>
      <c r="O279" s="30"/>
      <c r="P279" s="30"/>
    </row>
    <row r="280" customFormat="false" ht="15" hidden="false" customHeight="false" outlineLevel="0" collapsed="false">
      <c r="A280" s="30"/>
      <c r="B280" s="43"/>
      <c r="C280" s="30"/>
      <c r="D280" s="30"/>
      <c r="E280" s="30"/>
      <c r="F280" s="30"/>
      <c r="G280" s="41"/>
      <c r="H280" s="41"/>
      <c r="I280" s="41"/>
      <c r="J280" s="41"/>
      <c r="K280" s="27"/>
      <c r="L280" s="30"/>
      <c r="M280" s="30"/>
      <c r="N280" s="30"/>
      <c r="O280" s="30"/>
      <c r="P280" s="30"/>
    </row>
    <row r="281" customFormat="false" ht="15" hidden="false" customHeight="false" outlineLevel="0" collapsed="false">
      <c r="A281" s="30"/>
      <c r="B281" s="43"/>
      <c r="C281" s="30"/>
      <c r="D281" s="30"/>
      <c r="E281" s="30"/>
      <c r="F281" s="30"/>
      <c r="G281" s="41"/>
      <c r="H281" s="41"/>
      <c r="I281" s="41"/>
      <c r="J281" s="41"/>
      <c r="K281" s="27"/>
      <c r="L281" s="30"/>
      <c r="M281" s="30"/>
      <c r="N281" s="30"/>
      <c r="O281" s="30"/>
      <c r="P281" s="30"/>
    </row>
    <row r="282" customFormat="false" ht="15" hidden="false" customHeight="false" outlineLevel="0" collapsed="false">
      <c r="A282" s="30"/>
      <c r="B282" s="43"/>
      <c r="C282" s="30"/>
      <c r="D282" s="30"/>
      <c r="E282" s="30"/>
      <c r="F282" s="30"/>
      <c r="G282" s="41"/>
      <c r="H282" s="41"/>
      <c r="I282" s="41"/>
      <c r="J282" s="41"/>
      <c r="K282" s="27"/>
      <c r="L282" s="30"/>
      <c r="M282" s="30"/>
      <c r="N282" s="30"/>
      <c r="O282" s="30"/>
      <c r="P282" s="30"/>
    </row>
    <row r="283" customFormat="false" ht="15" hidden="false" customHeight="false" outlineLevel="0" collapsed="false">
      <c r="A283" s="30"/>
      <c r="B283" s="43"/>
      <c r="C283" s="30"/>
      <c r="D283" s="30"/>
      <c r="E283" s="30"/>
      <c r="F283" s="30"/>
      <c r="G283" s="41"/>
      <c r="H283" s="41"/>
      <c r="I283" s="41"/>
      <c r="J283" s="41"/>
      <c r="K283" s="27"/>
      <c r="L283" s="30"/>
      <c r="M283" s="30"/>
      <c r="N283" s="30"/>
      <c r="O283" s="30"/>
      <c r="P283" s="30"/>
    </row>
    <row r="284" customFormat="false" ht="15" hidden="false" customHeight="false" outlineLevel="0" collapsed="false">
      <c r="A284" s="30"/>
      <c r="B284" s="43"/>
      <c r="C284" s="30"/>
      <c r="D284" s="30"/>
      <c r="E284" s="30"/>
      <c r="F284" s="30"/>
      <c r="G284" s="41"/>
      <c r="H284" s="41"/>
      <c r="I284" s="41"/>
      <c r="J284" s="41"/>
      <c r="K284" s="27"/>
      <c r="L284" s="30"/>
      <c r="M284" s="30"/>
      <c r="N284" s="30"/>
      <c r="O284" s="30"/>
      <c r="P284" s="30"/>
    </row>
    <row r="285" customFormat="false" ht="15" hidden="false" customHeight="false" outlineLevel="0" collapsed="false">
      <c r="A285" s="30"/>
      <c r="B285" s="43"/>
      <c r="C285" s="30"/>
      <c r="D285" s="30"/>
      <c r="E285" s="30"/>
      <c r="F285" s="30"/>
      <c r="G285" s="41"/>
      <c r="H285" s="41"/>
      <c r="I285" s="41"/>
      <c r="J285" s="41"/>
      <c r="K285" s="27"/>
      <c r="L285" s="30"/>
      <c r="M285" s="30"/>
      <c r="N285" s="30"/>
      <c r="O285" s="30"/>
      <c r="P285" s="30"/>
    </row>
    <row r="286" customFormat="false" ht="15" hidden="false" customHeight="false" outlineLevel="0" collapsed="false">
      <c r="A286" s="30"/>
      <c r="B286" s="43"/>
      <c r="C286" s="30"/>
      <c r="D286" s="30"/>
      <c r="E286" s="30"/>
      <c r="F286" s="30"/>
      <c r="G286" s="41"/>
      <c r="H286" s="41"/>
      <c r="I286" s="41"/>
      <c r="J286" s="41"/>
      <c r="K286" s="27"/>
      <c r="L286" s="30"/>
      <c r="M286" s="30"/>
      <c r="N286" s="30"/>
      <c r="O286" s="30"/>
      <c r="P286" s="30"/>
    </row>
    <row r="287" customFormat="false" ht="15" hidden="false" customHeight="false" outlineLevel="0" collapsed="false">
      <c r="A287" s="30"/>
      <c r="B287" s="43"/>
      <c r="C287" s="30"/>
      <c r="D287" s="30"/>
      <c r="E287" s="30"/>
      <c r="F287" s="30"/>
      <c r="G287" s="41"/>
      <c r="H287" s="41"/>
      <c r="I287" s="41"/>
      <c r="J287" s="41"/>
      <c r="K287" s="27"/>
      <c r="L287" s="30"/>
      <c r="M287" s="30"/>
      <c r="N287" s="30"/>
      <c r="O287" s="30"/>
      <c r="P287" s="30"/>
    </row>
    <row r="288" customFormat="false" ht="15" hidden="false" customHeight="false" outlineLevel="0" collapsed="false">
      <c r="A288" s="30"/>
      <c r="B288" s="43"/>
      <c r="C288" s="30"/>
      <c r="D288" s="30"/>
      <c r="E288" s="30"/>
      <c r="F288" s="30"/>
      <c r="G288" s="41"/>
      <c r="H288" s="41"/>
      <c r="I288" s="41"/>
      <c r="J288" s="41"/>
      <c r="K288" s="27"/>
      <c r="L288" s="30"/>
      <c r="M288" s="30"/>
      <c r="N288" s="30"/>
      <c r="O288" s="30"/>
      <c r="P288" s="30"/>
    </row>
    <row r="289" customFormat="false" ht="15" hidden="false" customHeight="false" outlineLevel="0" collapsed="false">
      <c r="A289" s="30"/>
      <c r="B289" s="43"/>
      <c r="C289" s="30"/>
      <c r="D289" s="30"/>
      <c r="E289" s="30"/>
      <c r="F289" s="30"/>
      <c r="G289" s="41"/>
      <c r="H289" s="41"/>
      <c r="I289" s="41"/>
      <c r="J289" s="41"/>
      <c r="K289" s="27"/>
      <c r="L289" s="30"/>
      <c r="M289" s="30"/>
      <c r="N289" s="30"/>
      <c r="O289" s="30"/>
      <c r="P289" s="30"/>
    </row>
    <row r="290" customFormat="false" ht="15" hidden="false" customHeight="false" outlineLevel="0" collapsed="false">
      <c r="A290" s="30"/>
      <c r="B290" s="43"/>
      <c r="C290" s="30"/>
      <c r="D290" s="30"/>
      <c r="E290" s="30"/>
      <c r="F290" s="30"/>
      <c r="G290" s="41"/>
      <c r="H290" s="41"/>
      <c r="I290" s="41"/>
      <c r="J290" s="41"/>
      <c r="K290" s="27"/>
      <c r="L290" s="30"/>
      <c r="M290" s="30"/>
      <c r="N290" s="30"/>
      <c r="O290" s="30"/>
      <c r="P290" s="30"/>
    </row>
    <row r="291" customFormat="false" ht="15" hidden="false" customHeight="false" outlineLevel="0" collapsed="false">
      <c r="A291" s="30"/>
      <c r="B291" s="43"/>
      <c r="C291" s="30"/>
      <c r="D291" s="30"/>
      <c r="E291" s="30"/>
      <c r="F291" s="30"/>
      <c r="G291" s="41"/>
      <c r="H291" s="41"/>
      <c r="I291" s="41"/>
      <c r="J291" s="41"/>
      <c r="K291" s="27"/>
      <c r="L291" s="30"/>
      <c r="M291" s="30"/>
      <c r="N291" s="30"/>
      <c r="O291" s="30"/>
      <c r="P291" s="30"/>
    </row>
    <row r="292" customFormat="false" ht="15" hidden="false" customHeight="false" outlineLevel="0" collapsed="false">
      <c r="A292" s="30"/>
      <c r="B292" s="43"/>
      <c r="C292" s="30"/>
      <c r="D292" s="30"/>
      <c r="E292" s="30"/>
      <c r="F292" s="30"/>
      <c r="G292" s="41"/>
      <c r="H292" s="41"/>
      <c r="I292" s="41"/>
      <c r="J292" s="41"/>
      <c r="K292" s="27"/>
      <c r="L292" s="30"/>
      <c r="M292" s="30"/>
      <c r="N292" s="30"/>
      <c r="O292" s="30"/>
      <c r="P292" s="30"/>
    </row>
    <row r="293" customFormat="false" ht="15" hidden="false" customHeight="false" outlineLevel="0" collapsed="false">
      <c r="A293" s="30"/>
      <c r="B293" s="43"/>
      <c r="C293" s="30"/>
      <c r="D293" s="30"/>
      <c r="E293" s="30"/>
      <c r="F293" s="30"/>
      <c r="G293" s="41"/>
      <c r="H293" s="41"/>
      <c r="I293" s="41"/>
      <c r="J293" s="41"/>
      <c r="K293" s="27"/>
      <c r="L293" s="30"/>
      <c r="M293" s="30"/>
      <c r="N293" s="30"/>
      <c r="O293" s="30"/>
      <c r="P293" s="30"/>
    </row>
    <row r="294" customFormat="false" ht="15" hidden="false" customHeight="false" outlineLevel="0" collapsed="false">
      <c r="A294" s="30"/>
      <c r="B294" s="43"/>
      <c r="C294" s="30"/>
      <c r="D294" s="30"/>
      <c r="E294" s="30"/>
      <c r="F294" s="30"/>
      <c r="G294" s="41"/>
      <c r="H294" s="41"/>
      <c r="I294" s="41"/>
      <c r="J294" s="41"/>
      <c r="K294" s="27"/>
      <c r="L294" s="30"/>
      <c r="M294" s="30"/>
      <c r="N294" s="30"/>
      <c r="O294" s="30"/>
      <c r="P294" s="30"/>
    </row>
    <row r="295" customFormat="false" ht="15" hidden="false" customHeight="false" outlineLevel="0" collapsed="false">
      <c r="A295" s="30"/>
      <c r="B295" s="43"/>
      <c r="C295" s="30"/>
      <c r="D295" s="30"/>
      <c r="E295" s="30"/>
      <c r="F295" s="30"/>
      <c r="G295" s="41"/>
      <c r="H295" s="41"/>
      <c r="I295" s="41"/>
      <c r="J295" s="41"/>
      <c r="K295" s="27"/>
      <c r="L295" s="30"/>
      <c r="M295" s="30"/>
      <c r="N295" s="30"/>
      <c r="O295" s="30"/>
      <c r="P295" s="30"/>
    </row>
    <row r="296" customFormat="false" ht="15" hidden="false" customHeight="false" outlineLevel="0" collapsed="false">
      <c r="A296" s="30"/>
      <c r="B296" s="43"/>
      <c r="C296" s="30"/>
      <c r="D296" s="30"/>
      <c r="E296" s="30"/>
      <c r="F296" s="30"/>
      <c r="G296" s="41"/>
      <c r="H296" s="41"/>
      <c r="I296" s="41"/>
      <c r="J296" s="41"/>
      <c r="K296" s="27"/>
      <c r="L296" s="30"/>
      <c r="M296" s="30"/>
      <c r="N296" s="30"/>
      <c r="O296" s="30"/>
      <c r="P296" s="30"/>
    </row>
    <row r="297" customFormat="false" ht="15" hidden="false" customHeight="false" outlineLevel="0" collapsed="false">
      <c r="A297" s="30"/>
      <c r="B297" s="43"/>
      <c r="C297" s="30"/>
      <c r="D297" s="30"/>
      <c r="E297" s="30"/>
      <c r="F297" s="30"/>
      <c r="G297" s="41"/>
      <c r="H297" s="41"/>
      <c r="I297" s="41"/>
      <c r="J297" s="41"/>
      <c r="K297" s="27"/>
      <c r="L297" s="30"/>
      <c r="M297" s="30"/>
      <c r="N297" s="30"/>
      <c r="O297" s="30"/>
      <c r="P297" s="30"/>
    </row>
    <row r="298" customFormat="false" ht="15" hidden="false" customHeight="false" outlineLevel="0" collapsed="false">
      <c r="A298" s="30"/>
      <c r="B298" s="43"/>
      <c r="C298" s="30"/>
      <c r="D298" s="30"/>
      <c r="E298" s="30"/>
      <c r="F298" s="30"/>
      <c r="G298" s="41"/>
      <c r="H298" s="41"/>
      <c r="I298" s="41"/>
      <c r="J298" s="41"/>
      <c r="K298" s="27"/>
      <c r="L298" s="30"/>
      <c r="M298" s="30"/>
      <c r="N298" s="30"/>
      <c r="O298" s="30"/>
      <c r="P298" s="30"/>
    </row>
    <row r="299" customFormat="false" ht="15" hidden="false" customHeight="false" outlineLevel="0" collapsed="false">
      <c r="A299" s="30"/>
      <c r="B299" s="43"/>
      <c r="C299" s="30"/>
      <c r="D299" s="30"/>
      <c r="E299" s="30"/>
      <c r="F299" s="30"/>
      <c r="G299" s="41"/>
      <c r="H299" s="41"/>
      <c r="I299" s="41"/>
      <c r="J299" s="41"/>
      <c r="K299" s="27"/>
      <c r="L299" s="30"/>
      <c r="M299" s="30"/>
      <c r="N299" s="30"/>
      <c r="O299" s="30"/>
      <c r="P299" s="30"/>
    </row>
    <row r="300" customFormat="false" ht="15" hidden="false" customHeight="false" outlineLevel="0" collapsed="false">
      <c r="A300" s="30"/>
      <c r="B300" s="43"/>
      <c r="C300" s="30"/>
      <c r="D300" s="30"/>
      <c r="E300" s="30"/>
      <c r="F300" s="30"/>
      <c r="G300" s="41"/>
      <c r="H300" s="41"/>
      <c r="I300" s="41"/>
      <c r="J300" s="41"/>
      <c r="K300" s="27"/>
      <c r="L300" s="30"/>
      <c r="M300" s="30"/>
      <c r="N300" s="30"/>
      <c r="O300" s="30"/>
      <c r="P300" s="30"/>
    </row>
    <row r="301" customFormat="false" ht="15" hidden="false" customHeight="false" outlineLevel="0" collapsed="false">
      <c r="A301" s="30"/>
      <c r="B301" s="43"/>
      <c r="C301" s="30"/>
      <c r="D301" s="30"/>
      <c r="E301" s="30"/>
      <c r="F301" s="30"/>
      <c r="G301" s="41"/>
      <c r="H301" s="41"/>
      <c r="I301" s="41"/>
      <c r="J301" s="41"/>
      <c r="K301" s="27"/>
      <c r="L301" s="30"/>
      <c r="M301" s="30"/>
      <c r="N301" s="30"/>
      <c r="O301" s="30"/>
      <c r="P301" s="30"/>
    </row>
    <row r="302" customFormat="false" ht="15" hidden="false" customHeight="false" outlineLevel="0" collapsed="false">
      <c r="A302" s="30"/>
      <c r="B302" s="43"/>
      <c r="C302" s="30"/>
      <c r="D302" s="30"/>
      <c r="E302" s="30"/>
      <c r="F302" s="30"/>
      <c r="G302" s="41"/>
      <c r="H302" s="41"/>
      <c r="I302" s="41"/>
      <c r="J302" s="41"/>
      <c r="K302" s="27"/>
      <c r="L302" s="30"/>
      <c r="M302" s="30"/>
      <c r="N302" s="30"/>
      <c r="O302" s="30"/>
      <c r="P302" s="30"/>
    </row>
    <row r="303" customFormat="false" ht="15" hidden="false" customHeight="false" outlineLevel="0" collapsed="false">
      <c r="A303" s="30"/>
      <c r="B303" s="43"/>
      <c r="C303" s="30"/>
      <c r="D303" s="30"/>
      <c r="E303" s="30"/>
      <c r="F303" s="30"/>
      <c r="G303" s="41"/>
      <c r="H303" s="41"/>
      <c r="I303" s="41"/>
      <c r="J303" s="41"/>
      <c r="K303" s="27"/>
      <c r="L303" s="30"/>
      <c r="M303" s="30"/>
      <c r="N303" s="30"/>
      <c r="O303" s="30"/>
      <c r="P303" s="30"/>
    </row>
    <row r="304" customFormat="false" ht="15" hidden="false" customHeight="false" outlineLevel="0" collapsed="false">
      <c r="A304" s="30"/>
      <c r="B304" s="43"/>
      <c r="C304" s="30"/>
      <c r="D304" s="30"/>
      <c r="E304" s="30"/>
      <c r="F304" s="30"/>
      <c r="G304" s="41"/>
      <c r="H304" s="41"/>
      <c r="I304" s="41"/>
      <c r="J304" s="41"/>
      <c r="K304" s="27"/>
      <c r="L304" s="30"/>
      <c r="M304" s="30"/>
      <c r="N304" s="30"/>
      <c r="O304" s="30"/>
      <c r="P304" s="30"/>
    </row>
    <row r="305" customFormat="false" ht="15" hidden="false" customHeight="false" outlineLevel="0" collapsed="false">
      <c r="A305" s="30"/>
      <c r="B305" s="43"/>
      <c r="C305" s="30"/>
      <c r="D305" s="30"/>
      <c r="E305" s="30"/>
      <c r="F305" s="30"/>
      <c r="G305" s="41"/>
      <c r="H305" s="41"/>
      <c r="I305" s="41"/>
      <c r="J305" s="41"/>
      <c r="K305" s="27"/>
      <c r="L305" s="30"/>
      <c r="M305" s="30"/>
      <c r="N305" s="30"/>
      <c r="O305" s="30"/>
      <c r="P305" s="30"/>
    </row>
    <row r="306" customFormat="false" ht="15" hidden="false" customHeight="false" outlineLevel="0" collapsed="false">
      <c r="A306" s="30"/>
      <c r="B306" s="43"/>
      <c r="C306" s="30"/>
      <c r="D306" s="30"/>
      <c r="E306" s="30"/>
      <c r="F306" s="30"/>
      <c r="G306" s="41"/>
      <c r="H306" s="41"/>
      <c r="I306" s="41"/>
      <c r="J306" s="41"/>
      <c r="K306" s="27"/>
      <c r="L306" s="30"/>
      <c r="M306" s="30"/>
      <c r="N306" s="30"/>
      <c r="O306" s="30"/>
      <c r="P306" s="30"/>
    </row>
    <row r="307" customFormat="false" ht="15" hidden="false" customHeight="false" outlineLevel="0" collapsed="false">
      <c r="A307" s="30"/>
      <c r="B307" s="43"/>
      <c r="C307" s="30"/>
      <c r="D307" s="30"/>
      <c r="E307" s="30"/>
      <c r="F307" s="30"/>
      <c r="G307" s="41"/>
      <c r="H307" s="41"/>
      <c r="I307" s="41"/>
      <c r="J307" s="41"/>
      <c r="K307" s="27"/>
      <c r="L307" s="30"/>
      <c r="M307" s="30"/>
      <c r="N307" s="30"/>
      <c r="O307" s="30"/>
      <c r="P307" s="30"/>
    </row>
  </sheetData>
  <mergeCells count="3">
    <mergeCell ref="A6:F6"/>
    <mergeCell ref="G6:K6"/>
    <mergeCell ref="L6:P6"/>
  </mergeCells>
  <dataValidations count="3">
    <dataValidation allowBlank="true" errorStyle="stop" operator="between" showDropDown="false" showErrorMessage="false" showInputMessage="false" sqref="K8:K307" type="whole">
      <formula1>1</formula1>
      <formula2>5</formula2>
    </dataValidation>
    <dataValidation allowBlank="true" errorStyle="stop" operator="between" showDropDown="false" showErrorMessage="false" showInputMessage="false" sqref="D8:D307" type="list">
      <formula1>"Agent,Property manager,Contractor,Lender,Title company,Investor,Wholesaler,Inspector,Appraiser,Other"</formula1>
      <formula2>0</formula2>
    </dataValidation>
    <dataValidation allowBlank="true" errorStyle="stop" operator="between" showDropDown="false" showErrorMessage="false" showInputMessage="false" sqref="N8:N30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44"/>
  </cols>
  <sheetData>
    <row r="1" customFormat="false" ht="21.75" hidden="false" customHeight="true" outlineLevel="0" collapsed="false">
      <c r="A1" s="15" t="s">
        <v>268</v>
      </c>
    </row>
    <row r="2" customFormat="false" ht="15" hidden="false" customHeight="false" outlineLevel="0" collapsed="false">
      <c r="A2" s="2" t="s">
        <v>269</v>
      </c>
    </row>
    <row r="4" customFormat="false" ht="15" hidden="false" customHeight="false" outlineLevel="0" collapsed="false">
      <c r="A4" s="3" t="s">
        <v>173</v>
      </c>
    </row>
    <row r="5" customFormat="false" ht="15" hidden="false" customHeight="false" outlineLevel="0" collapsed="false">
      <c r="A5" s="5" t="s">
        <v>175</v>
      </c>
      <c r="B5" s="30" t="s">
        <v>270</v>
      </c>
    </row>
    <row r="6" customFormat="false" ht="15" hidden="false" customHeight="false" outlineLevel="0" collapsed="false">
      <c r="A6" s="5" t="s">
        <v>128</v>
      </c>
      <c r="B6" s="30" t="s">
        <v>126</v>
      </c>
    </row>
    <row r="7" customFormat="false" ht="15" hidden="false" customHeight="false" outlineLevel="0" collapsed="false">
      <c r="A7" s="5" t="s">
        <v>271</v>
      </c>
      <c r="B7" s="27" t="n">
        <v>1200</v>
      </c>
    </row>
    <row r="8" customFormat="false" ht="15" hidden="false" customHeight="false" outlineLevel="0" collapsed="false">
      <c r="A8" s="5" t="s">
        <v>272</v>
      </c>
      <c r="B8" s="41" t="n">
        <v>135000</v>
      </c>
    </row>
    <row r="10" customFormat="false" ht="15" hidden="false" customHeight="false" outlineLevel="0" collapsed="false">
      <c r="A10" s="3" t="s">
        <v>273</v>
      </c>
    </row>
    <row r="11" customFormat="false" ht="15" hidden="false" customHeight="false" outlineLevel="0" collapsed="false">
      <c r="A11" s="51" t="s">
        <v>175</v>
      </c>
      <c r="B11" s="51" t="s">
        <v>187</v>
      </c>
      <c r="C11" s="51" t="s">
        <v>179</v>
      </c>
      <c r="D11" s="51" t="s">
        <v>186</v>
      </c>
      <c r="E11" s="51" t="s">
        <v>274</v>
      </c>
      <c r="F11" s="51" t="s">
        <v>275</v>
      </c>
    </row>
    <row r="12" customFormat="false" ht="15" hidden="false" customHeight="false" outlineLevel="0" collapsed="false">
      <c r="A12" s="30" t="s">
        <v>276</v>
      </c>
      <c r="B12" s="41" t="n">
        <v>212000</v>
      </c>
      <c r="C12" s="27" t="n">
        <v>1250</v>
      </c>
      <c r="D12" s="43" t="n">
        <v>46248</v>
      </c>
      <c r="E12" s="47" t="n">
        <v>0.4</v>
      </c>
      <c r="F12" s="46" t="n">
        <f aca="false">IF(OR(B12="",C12="",C12=0),"",B12/C12)</f>
        <v>169.6</v>
      </c>
    </row>
    <row r="13" customFormat="false" ht="15" hidden="false" customHeight="false" outlineLevel="0" collapsed="false">
      <c r="A13" s="30" t="s">
        <v>277</v>
      </c>
      <c r="B13" s="41" t="n">
        <v>205000</v>
      </c>
      <c r="C13" s="27" t="n">
        <v>1180</v>
      </c>
      <c r="D13" s="43" t="n">
        <v>46205</v>
      </c>
      <c r="E13" s="47" t="n">
        <v>0.7</v>
      </c>
      <c r="F13" s="46" t="n">
        <f aca="false">IF(OR(B13="",C13="",C13=0),"",B13/C13)</f>
        <v>173.728813559322</v>
      </c>
    </row>
    <row r="14" customFormat="false" ht="15" hidden="false" customHeight="false" outlineLevel="0" collapsed="false">
      <c r="A14" s="30" t="s">
        <v>278</v>
      </c>
      <c r="B14" s="41" t="n">
        <v>219500</v>
      </c>
      <c r="C14" s="27" t="n">
        <v>1320</v>
      </c>
      <c r="D14" s="43" t="n">
        <v>46286</v>
      </c>
      <c r="E14" s="47" t="n">
        <v>0.9</v>
      </c>
      <c r="F14" s="46" t="n">
        <f aca="false">IF(OR(B14="",C14="",C14=0),"",B14/C14)</f>
        <v>166.287878787879</v>
      </c>
    </row>
    <row r="15" customFormat="false" ht="15" hidden="false" customHeight="false" outlineLevel="0" collapsed="false">
      <c r="A15" s="30"/>
      <c r="B15" s="41"/>
      <c r="C15" s="27"/>
      <c r="D15" s="43"/>
      <c r="E15" s="47"/>
      <c r="F15" s="46" t="str">
        <f aca="false">IF(OR(B15="",C15="",C15=0),"",B15/C15)</f>
        <v/>
      </c>
    </row>
    <row r="16" customFormat="false" ht="15" hidden="false" customHeight="false" outlineLevel="0" collapsed="false">
      <c r="A16" s="30"/>
      <c r="B16" s="41"/>
      <c r="C16" s="27"/>
      <c r="D16" s="43"/>
      <c r="E16" s="47"/>
      <c r="F16" s="46" t="str">
        <f aca="false">IF(OR(B16="",C16="",C16=0),"",B16/C16)</f>
        <v/>
      </c>
    </row>
    <row r="18" customFormat="false" ht="15" hidden="false" customHeight="false" outlineLevel="0" collapsed="false">
      <c r="A18" s="5" t="s">
        <v>279</v>
      </c>
      <c r="B18" s="46" t="n">
        <f aca="false">IFERROR(MIN(F12:F16),"")</f>
        <v>166.287878787879</v>
      </c>
    </row>
    <row r="19" customFormat="false" ht="15" hidden="false" customHeight="false" outlineLevel="0" collapsed="false">
      <c r="A19" s="5" t="s">
        <v>280</v>
      </c>
      <c r="B19" s="46" t="n">
        <f aca="false">IFERROR(MEDIAN(F12:F16),"")</f>
        <v>169.6</v>
      </c>
    </row>
    <row r="20" customFormat="false" ht="15" hidden="false" customHeight="false" outlineLevel="0" collapsed="false">
      <c r="A20" s="5" t="s">
        <v>281</v>
      </c>
      <c r="B20" s="52" t="n">
        <f aca="false">IF(OR(B18="",B18=0,B7=""),"",B18*B7)</f>
        <v>199545.454545455</v>
      </c>
    </row>
    <row r="21" customFormat="false" ht="15" hidden="false" customHeight="false" outlineLevel="0" collapsed="false">
      <c r="A21" s="5" t="s">
        <v>282</v>
      </c>
      <c r="B21" s="46" t="n">
        <f aca="false">IF(OR(B19="",B19=0,B7=""),"",B19*B7)</f>
        <v>203520</v>
      </c>
    </row>
    <row r="23" customFormat="false" ht="15" hidden="false" customHeight="false" outlineLevel="0" collapsed="false">
      <c r="A23" s="3" t="s">
        <v>283</v>
      </c>
    </row>
    <row r="24" customFormat="false" ht="15" hidden="false" customHeight="false" outlineLevel="0" collapsed="false">
      <c r="A24" s="5" t="s">
        <v>284</v>
      </c>
      <c r="B24" s="41"/>
    </row>
    <row r="25" customFormat="false" ht="15" hidden="false" customHeight="false" outlineLevel="0" collapsed="false">
      <c r="A25" s="5" t="s">
        <v>285</v>
      </c>
      <c r="B25" s="52" t="n">
        <f aca="false">IF(B24&lt;&gt;"",B24,B20)</f>
        <v>199545.454545455</v>
      </c>
    </row>
    <row r="26" customFormat="false" ht="15" hidden="false" customHeight="false" outlineLevel="0" collapsed="false">
      <c r="A26" s="5" t="s">
        <v>286</v>
      </c>
      <c r="B26" s="41" t="n">
        <v>120000</v>
      </c>
    </row>
    <row r="27" customFormat="false" ht="15" hidden="false" customHeight="false" outlineLevel="0" collapsed="false">
      <c r="A27" s="5" t="s">
        <v>287</v>
      </c>
      <c r="B27" s="31" t="n">
        <v>0.02</v>
      </c>
    </row>
    <row r="28" customFormat="false" ht="15" hidden="false" customHeight="false" outlineLevel="0" collapsed="false">
      <c r="A28" s="5" t="s">
        <v>288</v>
      </c>
      <c r="B28" s="41" t="n">
        <v>35000</v>
      </c>
    </row>
    <row r="29" customFormat="false" ht="15" hidden="false" customHeight="false" outlineLevel="0" collapsed="false">
      <c r="A29" s="5" t="s">
        <v>289</v>
      </c>
      <c r="B29" s="31" t="n">
        <v>0.2</v>
      </c>
    </row>
    <row r="30" customFormat="false" ht="15" hidden="false" customHeight="false" outlineLevel="0" collapsed="false">
      <c r="A30" s="5" t="s">
        <v>290</v>
      </c>
      <c r="B30" s="27" t="n">
        <v>6</v>
      </c>
    </row>
    <row r="31" customFormat="false" ht="15" hidden="false" customHeight="false" outlineLevel="0" collapsed="false">
      <c r="A31" s="5" t="s">
        <v>291</v>
      </c>
      <c r="B31" s="41" t="n">
        <v>650</v>
      </c>
    </row>
    <row r="32" customFormat="false" ht="15" hidden="false" customHeight="false" outlineLevel="0" collapsed="false">
      <c r="A32" s="5" t="s">
        <v>292</v>
      </c>
      <c r="B32" s="31" t="n">
        <v>0.08</v>
      </c>
    </row>
    <row r="33" customFormat="false" ht="15" hidden="false" customHeight="false" outlineLevel="0" collapsed="false">
      <c r="A33" s="5" t="s">
        <v>293</v>
      </c>
      <c r="B33" s="31" t="n">
        <v>0</v>
      </c>
    </row>
    <row r="34" customFormat="false" ht="15" hidden="false" customHeight="false" outlineLevel="0" collapsed="false">
      <c r="A34" s="5" t="s">
        <v>294</v>
      </c>
      <c r="B34" s="31" t="n">
        <v>0.11</v>
      </c>
    </row>
    <row r="35" customFormat="false" ht="15" hidden="false" customHeight="false" outlineLevel="0" collapsed="false">
      <c r="A35" s="5" t="s">
        <v>295</v>
      </c>
      <c r="B35" s="31" t="n">
        <v>0.02</v>
      </c>
    </row>
    <row r="36" customFormat="false" ht="15" hidden="false" customHeight="false" outlineLevel="0" collapsed="false">
      <c r="A36" s="5" t="s">
        <v>296</v>
      </c>
      <c r="B36" s="31" t="n">
        <v>0.15</v>
      </c>
    </row>
    <row r="38" customFormat="false" ht="15" hidden="false" customHeight="false" outlineLevel="0" collapsed="false">
      <c r="A38" s="3" t="s">
        <v>93</v>
      </c>
    </row>
    <row r="39" customFormat="false" ht="15" hidden="false" customHeight="false" outlineLevel="0" collapsed="false">
      <c r="A39" s="5" t="s">
        <v>297</v>
      </c>
      <c r="B39" s="46" t="n">
        <f aca="false">B26*B27</f>
        <v>2400</v>
      </c>
    </row>
    <row r="40" customFormat="false" ht="15" hidden="false" customHeight="false" outlineLevel="0" collapsed="false">
      <c r="A40" s="5" t="s">
        <v>298</v>
      </c>
      <c r="B40" s="46" t="n">
        <f aca="false">B28*(1+B29)</f>
        <v>42000</v>
      </c>
    </row>
    <row r="41" customFormat="false" ht="15" hidden="false" customHeight="false" outlineLevel="0" collapsed="false">
      <c r="A41" s="5" t="s">
        <v>299</v>
      </c>
      <c r="B41" s="46" t="n">
        <f aca="false">B30*B31</f>
        <v>3900</v>
      </c>
    </row>
    <row r="42" customFormat="false" ht="15" hidden="false" customHeight="false" outlineLevel="0" collapsed="false">
      <c r="A42" s="5" t="s">
        <v>300</v>
      </c>
      <c r="B42" s="46" t="n">
        <f aca="false">B33*(B26+B40)</f>
        <v>0</v>
      </c>
    </row>
    <row r="43" customFormat="false" ht="15" hidden="false" customHeight="false" outlineLevel="0" collapsed="false">
      <c r="A43" s="5" t="s">
        <v>301</v>
      </c>
      <c r="B43" s="46" t="n">
        <f aca="false">B42*B34*B30/12+B42*B35</f>
        <v>0</v>
      </c>
    </row>
    <row r="44" customFormat="false" ht="15" hidden="false" customHeight="false" outlineLevel="0" collapsed="false">
      <c r="A44" s="5" t="s">
        <v>302</v>
      </c>
      <c r="B44" s="46" t="n">
        <f aca="false">IF(B25="","",B25*B32)</f>
        <v>15963.6363636364</v>
      </c>
    </row>
    <row r="45" customFormat="false" ht="15" hidden="false" customHeight="false" outlineLevel="0" collapsed="false">
      <c r="A45" s="5" t="s">
        <v>303</v>
      </c>
      <c r="B45" s="46" t="n">
        <f aca="false">IF(B25="","",B26+B39+B40+B41+B43+B44)</f>
        <v>184263.636363636</v>
      </c>
    </row>
    <row r="46" customFormat="false" ht="15" hidden="false" customHeight="false" outlineLevel="0" collapsed="false">
      <c r="A46" s="9" t="s">
        <v>304</v>
      </c>
      <c r="B46" s="52" t="n">
        <f aca="false">IF(B25="","",B25-B45)</f>
        <v>15281.8181818182</v>
      </c>
    </row>
    <row r="47" customFormat="false" ht="15" hidden="false" customHeight="false" outlineLevel="0" collapsed="false">
      <c r="A47" s="5" t="s">
        <v>305</v>
      </c>
      <c r="B47" s="46" t="n">
        <f aca="false">B26+B39+B40+B41+B43-B42</f>
        <v>168300</v>
      </c>
    </row>
    <row r="48" customFormat="false" ht="15" hidden="false" customHeight="false" outlineLevel="0" collapsed="false">
      <c r="A48" s="9" t="s">
        <v>306</v>
      </c>
      <c r="B48" s="53" t="n">
        <f aca="false">IF(OR(B46="",B25=0),"",B46/B25)</f>
        <v>0.0765831435079726</v>
      </c>
    </row>
    <row r="49" customFormat="false" ht="15" hidden="false" customHeight="false" outlineLevel="0" collapsed="false">
      <c r="A49" s="9" t="s">
        <v>307</v>
      </c>
      <c r="B49" s="53" t="n">
        <f aca="false">IF(OR(B46="",B47&lt;=0),"",B46/B47)</f>
        <v>0.0908010587154972</v>
      </c>
    </row>
    <row r="50" customFormat="false" ht="15" hidden="false" customHeight="false" outlineLevel="0" collapsed="false">
      <c r="A50" s="9" t="s">
        <v>308</v>
      </c>
      <c r="B50" s="52" t="n">
        <f aca="false">IF(B25="","",(B25*(1-B32-B36)-B40-B41-B33*B40*(B34*B30/12+B35))/(1+B27+B33*(B34*B30/12+B35)))</f>
        <v>105637.254901961</v>
      </c>
      <c r="C50" s="2" t="s">
        <v>309</v>
      </c>
    </row>
    <row r="51" customFormat="false" ht="15" hidden="false" customHeight="false" outlineLevel="0" collapsed="false">
      <c r="A51" s="5" t="s">
        <v>310</v>
      </c>
      <c r="B51" s="46" t="n">
        <f aca="false">IF(B25="","",B25*0.7-B40)</f>
        <v>97681.8181818182</v>
      </c>
      <c r="C51" s="2" t="s">
        <v>311</v>
      </c>
    </row>
    <row r="53" customFormat="false" ht="15" hidden="false" customHeight="false" outlineLevel="0" collapsed="false">
      <c r="A53" s="3" t="s">
        <v>312</v>
      </c>
    </row>
    <row r="54" customFormat="false" ht="15" hidden="false" customHeight="false" outlineLevel="0" collapsed="false">
      <c r="A54" s="54" t="s">
        <v>313</v>
      </c>
      <c r="B54" s="54" t="s">
        <v>314</v>
      </c>
      <c r="C54" s="54" t="s">
        <v>315</v>
      </c>
      <c r="D54" s="54" t="s">
        <v>316</v>
      </c>
      <c r="E54" s="54" t="s">
        <v>317</v>
      </c>
      <c r="F54" s="54" t="s">
        <v>318</v>
      </c>
    </row>
    <row r="55" customFormat="false" ht="15" hidden="false" customHeight="false" outlineLevel="0" collapsed="false">
      <c r="A55" s="55" t="s">
        <v>319</v>
      </c>
      <c r="B55" s="46" t="n">
        <f aca="false">IF($B$25="","",B25)</f>
        <v>199545.454545455</v>
      </c>
      <c r="C55" s="46" t="n">
        <f aca="false">B28</f>
        <v>35000</v>
      </c>
      <c r="D55" s="45" t="n">
        <f aca="false">B30</f>
        <v>6</v>
      </c>
      <c r="E55" s="46" t="n">
        <f aca="false">IF(B55="","",B55*(1-$B$32)-$B$26*(1+$B$27)-C55*(1+$B$29)-D55*$B$31-$B$33*($B$26+C55*(1+$B$29))*($B$34*D55/12+$B$35))</f>
        <v>15281.8181818182</v>
      </c>
      <c r="F55" s="24" t="n">
        <f aca="false">IF(OR(E55="",B55=0),"",E55/B55)</f>
        <v>0.0765831435079726</v>
      </c>
    </row>
    <row r="56" customFormat="false" ht="15" hidden="false" customHeight="false" outlineLevel="0" collapsed="false">
      <c r="A56" s="55" t="s">
        <v>320</v>
      </c>
      <c r="B56" s="46" t="n">
        <f aca="false">IF($B$25="","",B25*0.9)</f>
        <v>179590.909090909</v>
      </c>
      <c r="C56" s="46" t="n">
        <f aca="false">B28</f>
        <v>35000</v>
      </c>
      <c r="D56" s="45" t="n">
        <f aca="false">B30</f>
        <v>6</v>
      </c>
      <c r="E56" s="46" t="n">
        <f aca="false">IF(B56="","",B56*(1-$B$32)-$B$26*(1+$B$27)-C56*(1+$B$29)-D56*$B$31-$B$33*($B$26+C56*(1+$B$29))*($B$34*D56/12+$B$35))</f>
        <v>-3076.36363636362</v>
      </c>
      <c r="F56" s="24" t="n">
        <f aca="false">IF(OR(E56="",B56=0),"",E56/B56)</f>
        <v>-0.0171298405466969</v>
      </c>
    </row>
    <row r="57" customFormat="false" ht="15" hidden="false" customHeight="false" outlineLevel="0" collapsed="false">
      <c r="A57" s="55" t="s">
        <v>321</v>
      </c>
      <c r="B57" s="46" t="n">
        <f aca="false">IF($B$25="","",B25)</f>
        <v>199545.454545455</v>
      </c>
      <c r="C57" s="46" t="n">
        <f aca="false">B28*1.2</f>
        <v>42000</v>
      </c>
      <c r="D57" s="45" t="n">
        <f aca="false">B30</f>
        <v>6</v>
      </c>
      <c r="E57" s="46" t="n">
        <f aca="false">IF(B57="","",B57*(1-$B$32)-$B$26*(1+$B$27)-C57*(1+$B$29)-D57*$B$31-$B$33*($B$26+C57*(1+$B$29))*($B$34*D57/12+$B$35))</f>
        <v>6881.81818181818</v>
      </c>
      <c r="F57" s="24" t="n">
        <f aca="false">IF(OR(E57="",B57=0),"",E57/B57)</f>
        <v>0.0344874715261959</v>
      </c>
    </row>
    <row r="58" customFormat="false" ht="15" hidden="false" customHeight="false" outlineLevel="0" collapsed="false">
      <c r="A58" s="55" t="s">
        <v>322</v>
      </c>
      <c r="B58" s="46" t="n">
        <f aca="false">IF($B$25="","",B25)</f>
        <v>199545.454545455</v>
      </c>
      <c r="C58" s="46" t="n">
        <f aca="false">B28</f>
        <v>35000</v>
      </c>
      <c r="D58" s="45" t="n">
        <f aca="false">B30+3</f>
        <v>9</v>
      </c>
      <c r="E58" s="46" t="n">
        <f aca="false">IF(B58="","",B58*(1-$B$32)-$B$26*(1+$B$27)-C58*(1+$B$29)-D58*$B$31-$B$33*($B$26+C58*(1+$B$29))*($B$34*D58/12+$B$35))</f>
        <v>13331.8181818182</v>
      </c>
      <c r="F58" s="24" t="n">
        <f aca="false">IF(OR(E58="",B58=0),"",E58/B58)</f>
        <v>0.0668109339407745</v>
      </c>
    </row>
    <row r="59" customFormat="false" ht="15" hidden="false" customHeight="false" outlineLevel="0" collapsed="false">
      <c r="A59" s="56" t="s">
        <v>323</v>
      </c>
      <c r="B59" s="46" t="n">
        <f aca="false">IF($B$25="","",B25*0.9)</f>
        <v>179590.909090909</v>
      </c>
      <c r="C59" s="46" t="n">
        <f aca="false">B28*1.2</f>
        <v>42000</v>
      </c>
      <c r="D59" s="45" t="n">
        <f aca="false">B30+3</f>
        <v>9</v>
      </c>
      <c r="E59" s="52" t="n">
        <f aca="false">IF(B59="","",B59*(1-$B$32)-$B$26*(1+$B$27)-C59*(1+$B$29)-D59*$B$31-$B$33*($B$26+C59*(1+$B$29))*($B$34*D59/12+$B$35))</f>
        <v>-13426.3636363636</v>
      </c>
      <c r="F59" s="24" t="n">
        <f aca="false">IF(OR(E59="",B59=0),"",E59/B59)</f>
        <v>-0.074760820045558</v>
      </c>
    </row>
    <row r="61" customFormat="false" ht="15" hidden="false" customHeight="false" outlineLevel="0" collapsed="false">
      <c r="A61" s="9" t="s">
        <v>324</v>
      </c>
      <c r="B61" s="57" t="str">
        <f aca="false">IF(E59="","",IF(E59&gt;0,"YES: still profitable","NO: too thin"))</f>
        <v>NO: too thin</v>
      </c>
      <c r="C61" s="57"/>
      <c r="D61" s="57"/>
    </row>
    <row r="63" customFormat="false" ht="15" hidden="false" customHeight="false" outlineLevel="0" collapsed="false">
      <c r="A63" s="3" t="s">
        <v>325</v>
      </c>
    </row>
    <row r="64" customFormat="false" ht="15" hidden="false" customHeight="false" outlineLevel="0" collapsed="false">
      <c r="A64" s="5" t="s">
        <v>326</v>
      </c>
      <c r="B64" s="30"/>
      <c r="C64" s="30"/>
      <c r="D64" s="30"/>
    </row>
    <row r="65" customFormat="false" ht="15" hidden="false" customHeight="false" outlineLevel="0" collapsed="false">
      <c r="A65" s="5" t="s">
        <v>327</v>
      </c>
      <c r="B65" s="30"/>
    </row>
    <row r="66" customFormat="false" ht="15" hidden="false" customHeight="false" outlineLevel="0" collapsed="false">
      <c r="A66" s="5" t="s">
        <v>328</v>
      </c>
      <c r="B66" s="30"/>
    </row>
    <row r="67" customFormat="false" ht="15" hidden="false" customHeight="false" outlineLevel="0" collapsed="false">
      <c r="A67" s="5" t="s">
        <v>329</v>
      </c>
      <c r="B67" s="30"/>
    </row>
    <row r="68" customFormat="false" ht="15" hidden="false" customHeight="false" outlineLevel="0" collapsed="false">
      <c r="A68" s="5" t="s">
        <v>330</v>
      </c>
      <c r="B68" s="30"/>
    </row>
  </sheetData>
  <mergeCells count="2">
    <mergeCell ref="B61:D61"/>
    <mergeCell ref="B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O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8"/>
  </cols>
  <sheetData>
    <row r="1" customFormat="false" ht="21.75" hidden="false" customHeight="true" outlineLevel="0" collapsed="false">
      <c r="A1" s="15" t="s">
        <v>331</v>
      </c>
    </row>
    <row r="2" customFormat="false" ht="15" hidden="false" customHeight="false" outlineLevel="0" collapsed="false">
      <c r="A2" s="2" t="s">
        <v>332</v>
      </c>
    </row>
    <row r="3" customFormat="false" ht="15" hidden="false" customHeight="false" outlineLevel="0" collapsed="false">
      <c r="A3" s="9" t="s">
        <v>333</v>
      </c>
      <c r="D3" s="58" t="n">
        <f aca="false">COUNTA(C8:C307)</f>
        <v>1</v>
      </c>
    </row>
    <row r="4" customFormat="false" ht="15" hidden="false" customHeight="false" outlineLevel="0" collapsed="false">
      <c r="A4" s="9" t="s">
        <v>334</v>
      </c>
      <c r="D4" s="59" t="n">
        <f aca="false">IFERROR(AVERAGE(O8:O307),"")</f>
        <v>0.0330188679245284</v>
      </c>
      <c r="E4" s="2" t="s">
        <v>335</v>
      </c>
    </row>
    <row r="5" customFormat="false" ht="15" hidden="false" customHeight="false" outlineLevel="0" collapsed="false">
      <c r="A5" s="9" t="s">
        <v>336</v>
      </c>
      <c r="D5" s="57" t="str">
        <f aca="false">IF(COUNT(O8:O307)=0,"",COUNTIF(O8:O307,"&lt;=0.1")&amp;" of "&amp;COUNT(O8:O307))</f>
        <v>1 of 1</v>
      </c>
    </row>
    <row r="6" customFormat="false" ht="15" hidden="false" customHeight="false" outlineLevel="0" collapsed="false">
      <c r="A6" s="17" t="s">
        <v>337</v>
      </c>
      <c r="B6" s="17"/>
      <c r="C6" s="17"/>
      <c r="D6" s="17"/>
      <c r="E6" s="17" t="s">
        <v>338</v>
      </c>
      <c r="F6" s="17"/>
      <c r="G6" s="17"/>
      <c r="H6" s="17"/>
      <c r="I6" s="17" t="s">
        <v>339</v>
      </c>
      <c r="J6" s="17"/>
      <c r="K6" s="17"/>
      <c r="L6" s="17" t="s">
        <v>340</v>
      </c>
      <c r="M6" s="17"/>
      <c r="N6" s="17"/>
      <c r="O6" s="17"/>
    </row>
    <row r="7" customFormat="false" ht="42" hidden="false" customHeight="true" outlineLevel="0" collapsed="false">
      <c r="A7" s="19" t="s">
        <v>248</v>
      </c>
      <c r="B7" s="19" t="s">
        <v>128</v>
      </c>
      <c r="C7" s="19" t="s">
        <v>175</v>
      </c>
      <c r="D7" s="19" t="s">
        <v>179</v>
      </c>
      <c r="E7" s="19" t="s">
        <v>182</v>
      </c>
      <c r="F7" s="19" t="s">
        <v>341</v>
      </c>
      <c r="G7" s="19" t="s">
        <v>342</v>
      </c>
      <c r="H7" s="19" t="s">
        <v>343</v>
      </c>
      <c r="I7" s="19" t="s">
        <v>344</v>
      </c>
      <c r="J7" s="19" t="s">
        <v>345</v>
      </c>
      <c r="K7" s="19" t="s">
        <v>189</v>
      </c>
      <c r="L7" s="19" t="s">
        <v>346</v>
      </c>
      <c r="M7" s="19" t="s">
        <v>347</v>
      </c>
      <c r="N7" s="19" t="s">
        <v>348</v>
      </c>
      <c r="O7" s="19" t="s">
        <v>349</v>
      </c>
    </row>
    <row r="8" customFormat="false" ht="15" hidden="false" customHeight="false" outlineLevel="0" collapsed="false">
      <c r="A8" s="38" t="n">
        <v>46300</v>
      </c>
      <c r="B8" s="20" t="s">
        <v>126</v>
      </c>
      <c r="C8" s="20" t="s">
        <v>270</v>
      </c>
      <c r="D8" s="36" t="n">
        <v>1200</v>
      </c>
      <c r="E8" s="35" t="n">
        <v>135000</v>
      </c>
      <c r="F8" s="35" t="n">
        <v>112000</v>
      </c>
      <c r="G8" s="35" t="n">
        <v>205000</v>
      </c>
      <c r="H8" s="35" t="n">
        <v>35000</v>
      </c>
      <c r="I8" s="35" t="n">
        <v>128500</v>
      </c>
      <c r="J8" s="35" t="n">
        <v>212000</v>
      </c>
      <c r="K8" s="20" t="s">
        <v>170</v>
      </c>
      <c r="L8" s="48" t="str">
        <f aca="false">IF(OR(F8="",I8=""),"",IF(F8&gt;=I8,"Yes","No"))</f>
        <v>No</v>
      </c>
      <c r="M8" s="24" t="n">
        <f aca="false">IF(OR(F8="",I8="",I8=0),"",F8/I8-1)</f>
        <v>-0.1284046692607</v>
      </c>
      <c r="N8" s="24" t="n">
        <f aca="false">IF(OR(G8="",J8="",J8=0),"",G8/J8-1)</f>
        <v>-0.0330188679245284</v>
      </c>
      <c r="O8" s="24" t="n">
        <f aca="false">IF(N8="","",ABS(N8))</f>
        <v>0.0330188679245284</v>
      </c>
    </row>
    <row r="9" customFormat="false" ht="15" hidden="false" customHeight="false" outlineLevel="0" collapsed="false">
      <c r="A9" s="43"/>
      <c r="B9" s="30"/>
      <c r="C9" s="30"/>
      <c r="D9" s="27"/>
      <c r="E9" s="41"/>
      <c r="F9" s="41"/>
      <c r="G9" s="41"/>
      <c r="H9" s="41"/>
      <c r="I9" s="41"/>
      <c r="J9" s="41"/>
      <c r="K9" s="30"/>
      <c r="L9" s="48" t="str">
        <f aca="false">IF(OR(F9="",I9=""),"",IF(F9&gt;=I9,"Yes","No"))</f>
        <v/>
      </c>
      <c r="M9" s="24" t="str">
        <f aca="false">IF(OR(F9="",I9="",I9=0),"",F9/I9-1)</f>
        <v/>
      </c>
      <c r="N9" s="24" t="str">
        <f aca="false">IF(OR(G9="",J9="",J9=0),"",G9/J9-1)</f>
        <v/>
      </c>
      <c r="O9" s="24" t="str">
        <f aca="false">IF(N9="","",ABS(N9))</f>
        <v/>
      </c>
    </row>
    <row r="10" customFormat="false" ht="15" hidden="false" customHeight="false" outlineLevel="0" collapsed="false">
      <c r="A10" s="43"/>
      <c r="B10" s="30"/>
      <c r="C10" s="30"/>
      <c r="D10" s="27"/>
      <c r="E10" s="41"/>
      <c r="F10" s="41"/>
      <c r="G10" s="41"/>
      <c r="H10" s="41"/>
      <c r="I10" s="41"/>
      <c r="J10" s="41"/>
      <c r="K10" s="30"/>
      <c r="L10" s="48" t="str">
        <f aca="false">IF(OR(F10="",I10=""),"",IF(F10&gt;=I10,"Yes","No"))</f>
        <v/>
      </c>
      <c r="M10" s="24" t="str">
        <f aca="false">IF(OR(F10="",I10="",I10=0),"",F10/I10-1)</f>
        <v/>
      </c>
      <c r="N10" s="24" t="str">
        <f aca="false">IF(OR(G10="",J10="",J10=0),"",G10/J10-1)</f>
        <v/>
      </c>
      <c r="O10" s="24" t="str">
        <f aca="false">IF(N10="","",ABS(N10))</f>
        <v/>
      </c>
    </row>
    <row r="11" customFormat="false" ht="15" hidden="false" customHeight="false" outlineLevel="0" collapsed="false">
      <c r="A11" s="43"/>
      <c r="B11" s="30"/>
      <c r="C11" s="30"/>
      <c r="D11" s="27"/>
      <c r="E11" s="41"/>
      <c r="F11" s="41"/>
      <c r="G11" s="41"/>
      <c r="H11" s="41"/>
      <c r="I11" s="41"/>
      <c r="J11" s="41"/>
      <c r="K11" s="30"/>
      <c r="L11" s="48" t="str">
        <f aca="false">IF(OR(F11="",I11=""),"",IF(F11&gt;=I11,"Yes","No"))</f>
        <v/>
      </c>
      <c r="M11" s="24" t="str">
        <f aca="false">IF(OR(F11="",I11="",I11=0),"",F11/I11-1)</f>
        <v/>
      </c>
      <c r="N11" s="24" t="str">
        <f aca="false">IF(OR(G11="",J11="",J11=0),"",G11/J11-1)</f>
        <v/>
      </c>
      <c r="O11" s="24" t="str">
        <f aca="false">IF(N11="","",ABS(N11))</f>
        <v/>
      </c>
    </row>
    <row r="12" customFormat="false" ht="15" hidden="false" customHeight="false" outlineLevel="0" collapsed="false">
      <c r="A12" s="43"/>
      <c r="B12" s="30"/>
      <c r="C12" s="30"/>
      <c r="D12" s="27"/>
      <c r="E12" s="41"/>
      <c r="F12" s="41"/>
      <c r="G12" s="41"/>
      <c r="H12" s="41"/>
      <c r="I12" s="41"/>
      <c r="J12" s="41"/>
      <c r="K12" s="30"/>
      <c r="L12" s="48" t="str">
        <f aca="false">IF(OR(F12="",I12=""),"",IF(F12&gt;=I12,"Yes","No"))</f>
        <v/>
      </c>
      <c r="M12" s="24" t="str">
        <f aca="false">IF(OR(F12="",I12="",I12=0),"",F12/I12-1)</f>
        <v/>
      </c>
      <c r="N12" s="24" t="str">
        <f aca="false">IF(OR(G12="",J12="",J12=0),"",G12/J12-1)</f>
        <v/>
      </c>
      <c r="O12" s="24" t="str">
        <f aca="false">IF(N12="","",ABS(N12))</f>
        <v/>
      </c>
    </row>
    <row r="13" customFormat="false" ht="15" hidden="false" customHeight="false" outlineLevel="0" collapsed="false">
      <c r="A13" s="43"/>
      <c r="B13" s="30"/>
      <c r="C13" s="30"/>
      <c r="D13" s="27"/>
      <c r="E13" s="41"/>
      <c r="F13" s="41"/>
      <c r="G13" s="41"/>
      <c r="H13" s="41"/>
      <c r="I13" s="41"/>
      <c r="J13" s="41"/>
      <c r="K13" s="30"/>
      <c r="L13" s="48" t="str">
        <f aca="false">IF(OR(F13="",I13=""),"",IF(F13&gt;=I13,"Yes","No"))</f>
        <v/>
      </c>
      <c r="M13" s="24" t="str">
        <f aca="false">IF(OR(F13="",I13="",I13=0),"",F13/I13-1)</f>
        <v/>
      </c>
      <c r="N13" s="24" t="str">
        <f aca="false">IF(OR(G13="",J13="",J13=0),"",G13/J13-1)</f>
        <v/>
      </c>
      <c r="O13" s="24" t="str">
        <f aca="false">IF(N13="","",ABS(N13))</f>
        <v/>
      </c>
    </row>
    <row r="14" customFormat="false" ht="15" hidden="false" customHeight="false" outlineLevel="0" collapsed="false">
      <c r="A14" s="43"/>
      <c r="B14" s="30"/>
      <c r="C14" s="30"/>
      <c r="D14" s="27"/>
      <c r="E14" s="41"/>
      <c r="F14" s="41"/>
      <c r="G14" s="41"/>
      <c r="H14" s="41"/>
      <c r="I14" s="41"/>
      <c r="J14" s="41"/>
      <c r="K14" s="30"/>
      <c r="L14" s="48" t="str">
        <f aca="false">IF(OR(F14="",I14=""),"",IF(F14&gt;=I14,"Yes","No"))</f>
        <v/>
      </c>
      <c r="M14" s="24" t="str">
        <f aca="false">IF(OR(F14="",I14="",I14=0),"",F14/I14-1)</f>
        <v/>
      </c>
      <c r="N14" s="24" t="str">
        <f aca="false">IF(OR(G14="",J14="",J14=0),"",G14/J14-1)</f>
        <v/>
      </c>
      <c r="O14" s="24" t="str">
        <f aca="false">IF(N14="","",ABS(N14))</f>
        <v/>
      </c>
    </row>
    <row r="15" customFormat="false" ht="15" hidden="false" customHeight="false" outlineLevel="0" collapsed="false">
      <c r="A15" s="43"/>
      <c r="B15" s="30"/>
      <c r="C15" s="30"/>
      <c r="D15" s="27"/>
      <c r="E15" s="41"/>
      <c r="F15" s="41"/>
      <c r="G15" s="41"/>
      <c r="H15" s="41"/>
      <c r="I15" s="41"/>
      <c r="J15" s="41"/>
      <c r="K15" s="30"/>
      <c r="L15" s="48" t="str">
        <f aca="false">IF(OR(F15="",I15=""),"",IF(F15&gt;=I15,"Yes","No"))</f>
        <v/>
      </c>
      <c r="M15" s="24" t="str">
        <f aca="false">IF(OR(F15="",I15="",I15=0),"",F15/I15-1)</f>
        <v/>
      </c>
      <c r="N15" s="24" t="str">
        <f aca="false">IF(OR(G15="",J15="",J15=0),"",G15/J15-1)</f>
        <v/>
      </c>
      <c r="O15" s="24" t="str">
        <f aca="false">IF(N15="","",ABS(N15))</f>
        <v/>
      </c>
    </row>
    <row r="16" customFormat="false" ht="15" hidden="false" customHeight="false" outlineLevel="0" collapsed="false">
      <c r="A16" s="43"/>
      <c r="B16" s="30"/>
      <c r="C16" s="30"/>
      <c r="D16" s="27"/>
      <c r="E16" s="41"/>
      <c r="F16" s="41"/>
      <c r="G16" s="41"/>
      <c r="H16" s="41"/>
      <c r="I16" s="41"/>
      <c r="J16" s="41"/>
      <c r="K16" s="30"/>
      <c r="L16" s="48" t="str">
        <f aca="false">IF(OR(F16="",I16=""),"",IF(F16&gt;=I16,"Yes","No"))</f>
        <v/>
      </c>
      <c r="M16" s="24" t="str">
        <f aca="false">IF(OR(F16="",I16="",I16=0),"",F16/I16-1)</f>
        <v/>
      </c>
      <c r="N16" s="24" t="str">
        <f aca="false">IF(OR(G16="",J16="",J16=0),"",G16/J16-1)</f>
        <v/>
      </c>
      <c r="O16" s="24" t="str">
        <f aca="false">IF(N16="","",ABS(N16))</f>
        <v/>
      </c>
    </row>
    <row r="17" customFormat="false" ht="15" hidden="false" customHeight="false" outlineLevel="0" collapsed="false">
      <c r="A17" s="43"/>
      <c r="B17" s="30"/>
      <c r="C17" s="30"/>
      <c r="D17" s="27"/>
      <c r="E17" s="41"/>
      <c r="F17" s="41"/>
      <c r="G17" s="41"/>
      <c r="H17" s="41"/>
      <c r="I17" s="41"/>
      <c r="J17" s="41"/>
      <c r="K17" s="30"/>
      <c r="L17" s="48" t="str">
        <f aca="false">IF(OR(F17="",I17=""),"",IF(F17&gt;=I17,"Yes","No"))</f>
        <v/>
      </c>
      <c r="M17" s="24" t="str">
        <f aca="false">IF(OR(F17="",I17="",I17=0),"",F17/I17-1)</f>
        <v/>
      </c>
      <c r="N17" s="24" t="str">
        <f aca="false">IF(OR(G17="",J17="",J17=0),"",G17/J17-1)</f>
        <v/>
      </c>
      <c r="O17" s="24" t="str">
        <f aca="false">IF(N17="","",ABS(N17))</f>
        <v/>
      </c>
    </row>
    <row r="18" customFormat="false" ht="15" hidden="false" customHeight="false" outlineLevel="0" collapsed="false">
      <c r="A18" s="43"/>
      <c r="B18" s="30"/>
      <c r="C18" s="30"/>
      <c r="D18" s="27"/>
      <c r="E18" s="41"/>
      <c r="F18" s="41"/>
      <c r="G18" s="41"/>
      <c r="H18" s="41"/>
      <c r="I18" s="41"/>
      <c r="J18" s="41"/>
      <c r="K18" s="30"/>
      <c r="L18" s="48" t="str">
        <f aca="false">IF(OR(F18="",I18=""),"",IF(F18&gt;=I18,"Yes","No"))</f>
        <v/>
      </c>
      <c r="M18" s="24" t="str">
        <f aca="false">IF(OR(F18="",I18="",I18=0),"",F18/I18-1)</f>
        <v/>
      </c>
      <c r="N18" s="24" t="str">
        <f aca="false">IF(OR(G18="",J18="",J18=0),"",G18/J18-1)</f>
        <v/>
      </c>
      <c r="O18" s="24" t="str">
        <f aca="false">IF(N18="","",ABS(N18))</f>
        <v/>
      </c>
    </row>
    <row r="19" customFormat="false" ht="15" hidden="false" customHeight="false" outlineLevel="0" collapsed="false">
      <c r="A19" s="43"/>
      <c r="B19" s="30"/>
      <c r="C19" s="30"/>
      <c r="D19" s="27"/>
      <c r="E19" s="41"/>
      <c r="F19" s="41"/>
      <c r="G19" s="41"/>
      <c r="H19" s="41"/>
      <c r="I19" s="41"/>
      <c r="J19" s="41"/>
      <c r="K19" s="30"/>
      <c r="L19" s="48" t="str">
        <f aca="false">IF(OR(F19="",I19=""),"",IF(F19&gt;=I19,"Yes","No"))</f>
        <v/>
      </c>
      <c r="M19" s="24" t="str">
        <f aca="false">IF(OR(F19="",I19="",I19=0),"",F19/I19-1)</f>
        <v/>
      </c>
      <c r="N19" s="24" t="str">
        <f aca="false">IF(OR(G19="",J19="",J19=0),"",G19/J19-1)</f>
        <v/>
      </c>
      <c r="O19" s="24" t="str">
        <f aca="false">IF(N19="","",ABS(N19))</f>
        <v/>
      </c>
    </row>
    <row r="20" customFormat="false" ht="15" hidden="false" customHeight="false" outlineLevel="0" collapsed="false">
      <c r="A20" s="43"/>
      <c r="B20" s="30"/>
      <c r="C20" s="30"/>
      <c r="D20" s="27"/>
      <c r="E20" s="41"/>
      <c r="F20" s="41"/>
      <c r="G20" s="41"/>
      <c r="H20" s="41"/>
      <c r="I20" s="41"/>
      <c r="J20" s="41"/>
      <c r="K20" s="30"/>
      <c r="L20" s="48" t="str">
        <f aca="false">IF(OR(F20="",I20=""),"",IF(F20&gt;=I20,"Yes","No"))</f>
        <v/>
      </c>
      <c r="M20" s="24" t="str">
        <f aca="false">IF(OR(F20="",I20="",I20=0),"",F20/I20-1)</f>
        <v/>
      </c>
      <c r="N20" s="24" t="str">
        <f aca="false">IF(OR(G20="",J20="",J20=0),"",G20/J20-1)</f>
        <v/>
      </c>
      <c r="O20" s="24" t="str">
        <f aca="false">IF(N20="","",ABS(N20))</f>
        <v/>
      </c>
    </row>
    <row r="21" customFormat="false" ht="15" hidden="false" customHeight="false" outlineLevel="0" collapsed="false">
      <c r="A21" s="43"/>
      <c r="B21" s="30"/>
      <c r="C21" s="30"/>
      <c r="D21" s="27"/>
      <c r="E21" s="41"/>
      <c r="F21" s="41"/>
      <c r="G21" s="41"/>
      <c r="H21" s="41"/>
      <c r="I21" s="41"/>
      <c r="J21" s="41"/>
      <c r="K21" s="30"/>
      <c r="L21" s="48" t="str">
        <f aca="false">IF(OR(F21="",I21=""),"",IF(F21&gt;=I21,"Yes","No"))</f>
        <v/>
      </c>
      <c r="M21" s="24" t="str">
        <f aca="false">IF(OR(F21="",I21="",I21=0),"",F21/I21-1)</f>
        <v/>
      </c>
      <c r="N21" s="24" t="str">
        <f aca="false">IF(OR(G21="",J21="",J21=0),"",G21/J21-1)</f>
        <v/>
      </c>
      <c r="O21" s="24" t="str">
        <f aca="false">IF(N21="","",ABS(N21))</f>
        <v/>
      </c>
    </row>
    <row r="22" customFormat="false" ht="15" hidden="false" customHeight="false" outlineLevel="0" collapsed="false">
      <c r="A22" s="43"/>
      <c r="B22" s="30"/>
      <c r="C22" s="30"/>
      <c r="D22" s="27"/>
      <c r="E22" s="41"/>
      <c r="F22" s="41"/>
      <c r="G22" s="41"/>
      <c r="H22" s="41"/>
      <c r="I22" s="41"/>
      <c r="J22" s="41"/>
      <c r="K22" s="30"/>
      <c r="L22" s="48" t="str">
        <f aca="false">IF(OR(F22="",I22=""),"",IF(F22&gt;=I22,"Yes","No"))</f>
        <v/>
      </c>
      <c r="M22" s="24" t="str">
        <f aca="false">IF(OR(F22="",I22="",I22=0),"",F22/I22-1)</f>
        <v/>
      </c>
      <c r="N22" s="24" t="str">
        <f aca="false">IF(OR(G22="",J22="",J22=0),"",G22/J22-1)</f>
        <v/>
      </c>
      <c r="O22" s="24" t="str">
        <f aca="false">IF(N22="","",ABS(N22))</f>
        <v/>
      </c>
    </row>
    <row r="23" customFormat="false" ht="15" hidden="false" customHeight="false" outlineLevel="0" collapsed="false">
      <c r="A23" s="43"/>
      <c r="B23" s="30"/>
      <c r="C23" s="30"/>
      <c r="D23" s="27"/>
      <c r="E23" s="41"/>
      <c r="F23" s="41"/>
      <c r="G23" s="41"/>
      <c r="H23" s="41"/>
      <c r="I23" s="41"/>
      <c r="J23" s="41"/>
      <c r="K23" s="30"/>
      <c r="L23" s="48" t="str">
        <f aca="false">IF(OR(F23="",I23=""),"",IF(F23&gt;=I23,"Yes","No"))</f>
        <v/>
      </c>
      <c r="M23" s="24" t="str">
        <f aca="false">IF(OR(F23="",I23="",I23=0),"",F23/I23-1)</f>
        <v/>
      </c>
      <c r="N23" s="24" t="str">
        <f aca="false">IF(OR(G23="",J23="",J23=0),"",G23/J23-1)</f>
        <v/>
      </c>
      <c r="O23" s="24" t="str">
        <f aca="false">IF(N23="","",ABS(N23))</f>
        <v/>
      </c>
    </row>
    <row r="24" customFormat="false" ht="15" hidden="false" customHeight="false" outlineLevel="0" collapsed="false">
      <c r="A24" s="43"/>
      <c r="B24" s="30"/>
      <c r="C24" s="30"/>
      <c r="D24" s="27"/>
      <c r="E24" s="41"/>
      <c r="F24" s="41"/>
      <c r="G24" s="41"/>
      <c r="H24" s="41"/>
      <c r="I24" s="41"/>
      <c r="J24" s="41"/>
      <c r="K24" s="30"/>
      <c r="L24" s="48" t="str">
        <f aca="false">IF(OR(F24="",I24=""),"",IF(F24&gt;=I24,"Yes","No"))</f>
        <v/>
      </c>
      <c r="M24" s="24" t="str">
        <f aca="false">IF(OR(F24="",I24="",I24=0),"",F24/I24-1)</f>
        <v/>
      </c>
      <c r="N24" s="24" t="str">
        <f aca="false">IF(OR(G24="",J24="",J24=0),"",G24/J24-1)</f>
        <v/>
      </c>
      <c r="O24" s="24" t="str">
        <f aca="false">IF(N24="","",ABS(N24))</f>
        <v/>
      </c>
    </row>
    <row r="25" customFormat="false" ht="15" hidden="false" customHeight="false" outlineLevel="0" collapsed="false">
      <c r="A25" s="43"/>
      <c r="B25" s="30"/>
      <c r="C25" s="30"/>
      <c r="D25" s="27"/>
      <c r="E25" s="41"/>
      <c r="F25" s="41"/>
      <c r="G25" s="41"/>
      <c r="H25" s="41"/>
      <c r="I25" s="41"/>
      <c r="J25" s="41"/>
      <c r="K25" s="30"/>
      <c r="L25" s="48" t="str">
        <f aca="false">IF(OR(F25="",I25=""),"",IF(F25&gt;=I25,"Yes","No"))</f>
        <v/>
      </c>
      <c r="M25" s="24" t="str">
        <f aca="false">IF(OR(F25="",I25="",I25=0),"",F25/I25-1)</f>
        <v/>
      </c>
      <c r="N25" s="24" t="str">
        <f aca="false">IF(OR(G25="",J25="",J25=0),"",G25/J25-1)</f>
        <v/>
      </c>
      <c r="O25" s="24" t="str">
        <f aca="false">IF(N25="","",ABS(N25))</f>
        <v/>
      </c>
    </row>
    <row r="26" customFormat="false" ht="15" hidden="false" customHeight="false" outlineLevel="0" collapsed="false">
      <c r="A26" s="43"/>
      <c r="B26" s="30"/>
      <c r="C26" s="30"/>
      <c r="D26" s="27"/>
      <c r="E26" s="41"/>
      <c r="F26" s="41"/>
      <c r="G26" s="41"/>
      <c r="H26" s="41"/>
      <c r="I26" s="41"/>
      <c r="J26" s="41"/>
      <c r="K26" s="30"/>
      <c r="L26" s="48" t="str">
        <f aca="false">IF(OR(F26="",I26=""),"",IF(F26&gt;=I26,"Yes","No"))</f>
        <v/>
      </c>
      <c r="M26" s="24" t="str">
        <f aca="false">IF(OR(F26="",I26="",I26=0),"",F26/I26-1)</f>
        <v/>
      </c>
      <c r="N26" s="24" t="str">
        <f aca="false">IF(OR(G26="",J26="",J26=0),"",G26/J26-1)</f>
        <v/>
      </c>
      <c r="O26" s="24" t="str">
        <f aca="false">IF(N26="","",ABS(N26))</f>
        <v/>
      </c>
    </row>
    <row r="27" customFormat="false" ht="15" hidden="false" customHeight="false" outlineLevel="0" collapsed="false">
      <c r="A27" s="43"/>
      <c r="B27" s="30"/>
      <c r="C27" s="30"/>
      <c r="D27" s="27"/>
      <c r="E27" s="41"/>
      <c r="F27" s="41"/>
      <c r="G27" s="41"/>
      <c r="H27" s="41"/>
      <c r="I27" s="41"/>
      <c r="J27" s="41"/>
      <c r="K27" s="30"/>
      <c r="L27" s="48" t="str">
        <f aca="false">IF(OR(F27="",I27=""),"",IF(F27&gt;=I27,"Yes","No"))</f>
        <v/>
      </c>
      <c r="M27" s="24" t="str">
        <f aca="false">IF(OR(F27="",I27="",I27=0),"",F27/I27-1)</f>
        <v/>
      </c>
      <c r="N27" s="24" t="str">
        <f aca="false">IF(OR(G27="",J27="",J27=0),"",G27/J27-1)</f>
        <v/>
      </c>
      <c r="O27" s="24" t="str">
        <f aca="false">IF(N27="","",ABS(N27))</f>
        <v/>
      </c>
    </row>
    <row r="28" customFormat="false" ht="15" hidden="false" customHeight="false" outlineLevel="0" collapsed="false">
      <c r="A28" s="43"/>
      <c r="B28" s="30"/>
      <c r="C28" s="30"/>
      <c r="D28" s="27"/>
      <c r="E28" s="41"/>
      <c r="F28" s="41"/>
      <c r="G28" s="41"/>
      <c r="H28" s="41"/>
      <c r="I28" s="41"/>
      <c r="J28" s="41"/>
      <c r="K28" s="30"/>
      <c r="L28" s="48" t="str">
        <f aca="false">IF(OR(F28="",I28=""),"",IF(F28&gt;=I28,"Yes","No"))</f>
        <v/>
      </c>
      <c r="M28" s="24" t="str">
        <f aca="false">IF(OR(F28="",I28="",I28=0),"",F28/I28-1)</f>
        <v/>
      </c>
      <c r="N28" s="24" t="str">
        <f aca="false">IF(OR(G28="",J28="",J28=0),"",G28/J28-1)</f>
        <v/>
      </c>
      <c r="O28" s="24" t="str">
        <f aca="false">IF(N28="","",ABS(N28))</f>
        <v/>
      </c>
    </row>
    <row r="29" customFormat="false" ht="15" hidden="false" customHeight="false" outlineLevel="0" collapsed="false">
      <c r="A29" s="43"/>
      <c r="B29" s="30"/>
      <c r="C29" s="30"/>
      <c r="D29" s="27"/>
      <c r="E29" s="41"/>
      <c r="F29" s="41"/>
      <c r="G29" s="41"/>
      <c r="H29" s="41"/>
      <c r="I29" s="41"/>
      <c r="J29" s="41"/>
      <c r="K29" s="30"/>
      <c r="L29" s="48" t="str">
        <f aca="false">IF(OR(F29="",I29=""),"",IF(F29&gt;=I29,"Yes","No"))</f>
        <v/>
      </c>
      <c r="M29" s="24" t="str">
        <f aca="false">IF(OR(F29="",I29="",I29=0),"",F29/I29-1)</f>
        <v/>
      </c>
      <c r="N29" s="24" t="str">
        <f aca="false">IF(OR(G29="",J29="",J29=0),"",G29/J29-1)</f>
        <v/>
      </c>
      <c r="O29" s="24" t="str">
        <f aca="false">IF(N29="","",ABS(N29))</f>
        <v/>
      </c>
    </row>
    <row r="30" customFormat="false" ht="15" hidden="false" customHeight="false" outlineLevel="0" collapsed="false">
      <c r="A30" s="43"/>
      <c r="B30" s="30"/>
      <c r="C30" s="30"/>
      <c r="D30" s="27"/>
      <c r="E30" s="41"/>
      <c r="F30" s="41"/>
      <c r="G30" s="41"/>
      <c r="H30" s="41"/>
      <c r="I30" s="41"/>
      <c r="J30" s="41"/>
      <c r="K30" s="30"/>
      <c r="L30" s="48" t="str">
        <f aca="false">IF(OR(F30="",I30=""),"",IF(F30&gt;=I30,"Yes","No"))</f>
        <v/>
      </c>
      <c r="M30" s="24" t="str">
        <f aca="false">IF(OR(F30="",I30="",I30=0),"",F30/I30-1)</f>
        <v/>
      </c>
      <c r="N30" s="24" t="str">
        <f aca="false">IF(OR(G30="",J30="",J30=0),"",G30/J30-1)</f>
        <v/>
      </c>
      <c r="O30" s="24" t="str">
        <f aca="false">IF(N30="","",ABS(N30))</f>
        <v/>
      </c>
    </row>
    <row r="31" customFormat="false" ht="15" hidden="false" customHeight="false" outlineLevel="0" collapsed="false">
      <c r="A31" s="43"/>
      <c r="B31" s="30"/>
      <c r="C31" s="30"/>
      <c r="D31" s="27"/>
      <c r="E31" s="41"/>
      <c r="F31" s="41"/>
      <c r="G31" s="41"/>
      <c r="H31" s="41"/>
      <c r="I31" s="41"/>
      <c r="J31" s="41"/>
      <c r="K31" s="30"/>
      <c r="L31" s="48" t="str">
        <f aca="false">IF(OR(F31="",I31=""),"",IF(F31&gt;=I31,"Yes","No"))</f>
        <v/>
      </c>
      <c r="M31" s="24" t="str">
        <f aca="false">IF(OR(F31="",I31="",I31=0),"",F31/I31-1)</f>
        <v/>
      </c>
      <c r="N31" s="24" t="str">
        <f aca="false">IF(OR(G31="",J31="",J31=0),"",G31/J31-1)</f>
        <v/>
      </c>
      <c r="O31" s="24" t="str">
        <f aca="false">IF(N31="","",ABS(N31))</f>
        <v/>
      </c>
    </row>
    <row r="32" customFormat="false" ht="15" hidden="false" customHeight="false" outlineLevel="0" collapsed="false">
      <c r="A32" s="43"/>
      <c r="B32" s="30"/>
      <c r="C32" s="30"/>
      <c r="D32" s="27"/>
      <c r="E32" s="41"/>
      <c r="F32" s="41"/>
      <c r="G32" s="41"/>
      <c r="H32" s="41"/>
      <c r="I32" s="41"/>
      <c r="J32" s="41"/>
      <c r="K32" s="30"/>
      <c r="L32" s="48" t="str">
        <f aca="false">IF(OR(F32="",I32=""),"",IF(F32&gt;=I32,"Yes","No"))</f>
        <v/>
      </c>
      <c r="M32" s="24" t="str">
        <f aca="false">IF(OR(F32="",I32="",I32=0),"",F32/I32-1)</f>
        <v/>
      </c>
      <c r="N32" s="24" t="str">
        <f aca="false">IF(OR(G32="",J32="",J32=0),"",G32/J32-1)</f>
        <v/>
      </c>
      <c r="O32" s="24" t="str">
        <f aca="false">IF(N32="","",ABS(N32))</f>
        <v/>
      </c>
    </row>
    <row r="33" customFormat="false" ht="15" hidden="false" customHeight="false" outlineLevel="0" collapsed="false">
      <c r="A33" s="43"/>
      <c r="B33" s="30"/>
      <c r="C33" s="30"/>
      <c r="D33" s="27"/>
      <c r="E33" s="41"/>
      <c r="F33" s="41"/>
      <c r="G33" s="41"/>
      <c r="H33" s="41"/>
      <c r="I33" s="41"/>
      <c r="J33" s="41"/>
      <c r="K33" s="30"/>
      <c r="L33" s="48" t="str">
        <f aca="false">IF(OR(F33="",I33=""),"",IF(F33&gt;=I33,"Yes","No"))</f>
        <v/>
      </c>
      <c r="M33" s="24" t="str">
        <f aca="false">IF(OR(F33="",I33="",I33=0),"",F33/I33-1)</f>
        <v/>
      </c>
      <c r="N33" s="24" t="str">
        <f aca="false">IF(OR(G33="",J33="",J33=0),"",G33/J33-1)</f>
        <v/>
      </c>
      <c r="O33" s="24" t="str">
        <f aca="false">IF(N33="","",ABS(N33))</f>
        <v/>
      </c>
    </row>
    <row r="34" customFormat="false" ht="15" hidden="false" customHeight="false" outlineLevel="0" collapsed="false">
      <c r="A34" s="43"/>
      <c r="B34" s="30"/>
      <c r="C34" s="30"/>
      <c r="D34" s="27"/>
      <c r="E34" s="41"/>
      <c r="F34" s="41"/>
      <c r="G34" s="41"/>
      <c r="H34" s="41"/>
      <c r="I34" s="41"/>
      <c r="J34" s="41"/>
      <c r="K34" s="30"/>
      <c r="L34" s="48" t="str">
        <f aca="false">IF(OR(F34="",I34=""),"",IF(F34&gt;=I34,"Yes","No"))</f>
        <v/>
      </c>
      <c r="M34" s="24" t="str">
        <f aca="false">IF(OR(F34="",I34="",I34=0),"",F34/I34-1)</f>
        <v/>
      </c>
      <c r="N34" s="24" t="str">
        <f aca="false">IF(OR(G34="",J34="",J34=0),"",G34/J34-1)</f>
        <v/>
      </c>
      <c r="O34" s="24" t="str">
        <f aca="false">IF(N34="","",ABS(N34))</f>
        <v/>
      </c>
    </row>
    <row r="35" customFormat="false" ht="15" hidden="false" customHeight="false" outlineLevel="0" collapsed="false">
      <c r="A35" s="43"/>
      <c r="B35" s="30"/>
      <c r="C35" s="30"/>
      <c r="D35" s="27"/>
      <c r="E35" s="41"/>
      <c r="F35" s="41"/>
      <c r="G35" s="41"/>
      <c r="H35" s="41"/>
      <c r="I35" s="41"/>
      <c r="J35" s="41"/>
      <c r="K35" s="30"/>
      <c r="L35" s="48" t="str">
        <f aca="false">IF(OR(F35="",I35=""),"",IF(F35&gt;=I35,"Yes","No"))</f>
        <v/>
      </c>
      <c r="M35" s="24" t="str">
        <f aca="false">IF(OR(F35="",I35="",I35=0),"",F35/I35-1)</f>
        <v/>
      </c>
      <c r="N35" s="24" t="str">
        <f aca="false">IF(OR(G35="",J35="",J35=0),"",G35/J35-1)</f>
        <v/>
      </c>
      <c r="O35" s="24" t="str">
        <f aca="false">IF(N35="","",ABS(N35))</f>
        <v/>
      </c>
    </row>
    <row r="36" customFormat="false" ht="15" hidden="false" customHeight="false" outlineLevel="0" collapsed="false">
      <c r="A36" s="43"/>
      <c r="B36" s="30"/>
      <c r="C36" s="30"/>
      <c r="D36" s="27"/>
      <c r="E36" s="41"/>
      <c r="F36" s="41"/>
      <c r="G36" s="41"/>
      <c r="H36" s="41"/>
      <c r="I36" s="41"/>
      <c r="J36" s="41"/>
      <c r="K36" s="30"/>
      <c r="L36" s="48" t="str">
        <f aca="false">IF(OR(F36="",I36=""),"",IF(F36&gt;=I36,"Yes","No"))</f>
        <v/>
      </c>
      <c r="M36" s="24" t="str">
        <f aca="false">IF(OR(F36="",I36="",I36=0),"",F36/I36-1)</f>
        <v/>
      </c>
      <c r="N36" s="24" t="str">
        <f aca="false">IF(OR(G36="",J36="",J36=0),"",G36/J36-1)</f>
        <v/>
      </c>
      <c r="O36" s="24" t="str">
        <f aca="false">IF(N36="","",ABS(N36))</f>
        <v/>
      </c>
    </row>
    <row r="37" customFormat="false" ht="15" hidden="false" customHeight="false" outlineLevel="0" collapsed="false">
      <c r="A37" s="43"/>
      <c r="B37" s="30"/>
      <c r="C37" s="30"/>
      <c r="D37" s="27"/>
      <c r="E37" s="41"/>
      <c r="F37" s="41"/>
      <c r="G37" s="41"/>
      <c r="H37" s="41"/>
      <c r="I37" s="41"/>
      <c r="J37" s="41"/>
      <c r="K37" s="30"/>
      <c r="L37" s="48" t="str">
        <f aca="false">IF(OR(F37="",I37=""),"",IF(F37&gt;=I37,"Yes","No"))</f>
        <v/>
      </c>
      <c r="M37" s="24" t="str">
        <f aca="false">IF(OR(F37="",I37="",I37=0),"",F37/I37-1)</f>
        <v/>
      </c>
      <c r="N37" s="24" t="str">
        <f aca="false">IF(OR(G37="",J37="",J37=0),"",G37/J37-1)</f>
        <v/>
      </c>
      <c r="O37" s="24" t="str">
        <f aca="false">IF(N37="","",ABS(N37))</f>
        <v/>
      </c>
    </row>
    <row r="38" customFormat="false" ht="15" hidden="false" customHeight="false" outlineLevel="0" collapsed="false">
      <c r="A38" s="43"/>
      <c r="B38" s="30"/>
      <c r="C38" s="30"/>
      <c r="D38" s="27"/>
      <c r="E38" s="41"/>
      <c r="F38" s="41"/>
      <c r="G38" s="41"/>
      <c r="H38" s="41"/>
      <c r="I38" s="41"/>
      <c r="J38" s="41"/>
      <c r="K38" s="30"/>
      <c r="L38" s="48" t="str">
        <f aca="false">IF(OR(F38="",I38=""),"",IF(F38&gt;=I38,"Yes","No"))</f>
        <v/>
      </c>
      <c r="M38" s="24" t="str">
        <f aca="false">IF(OR(F38="",I38="",I38=0),"",F38/I38-1)</f>
        <v/>
      </c>
      <c r="N38" s="24" t="str">
        <f aca="false">IF(OR(G38="",J38="",J38=0),"",G38/J38-1)</f>
        <v/>
      </c>
      <c r="O38" s="24" t="str">
        <f aca="false">IF(N38="","",ABS(N38))</f>
        <v/>
      </c>
    </row>
    <row r="39" customFormat="false" ht="15" hidden="false" customHeight="false" outlineLevel="0" collapsed="false">
      <c r="A39" s="43"/>
      <c r="B39" s="30"/>
      <c r="C39" s="30"/>
      <c r="D39" s="27"/>
      <c r="E39" s="41"/>
      <c r="F39" s="41"/>
      <c r="G39" s="41"/>
      <c r="H39" s="41"/>
      <c r="I39" s="41"/>
      <c r="J39" s="41"/>
      <c r="K39" s="30"/>
      <c r="L39" s="48" t="str">
        <f aca="false">IF(OR(F39="",I39=""),"",IF(F39&gt;=I39,"Yes","No"))</f>
        <v/>
      </c>
      <c r="M39" s="24" t="str">
        <f aca="false">IF(OR(F39="",I39="",I39=0),"",F39/I39-1)</f>
        <v/>
      </c>
      <c r="N39" s="24" t="str">
        <f aca="false">IF(OR(G39="",J39="",J39=0),"",G39/J39-1)</f>
        <v/>
      </c>
      <c r="O39" s="24" t="str">
        <f aca="false">IF(N39="","",ABS(N39))</f>
        <v/>
      </c>
    </row>
    <row r="40" customFormat="false" ht="15" hidden="false" customHeight="false" outlineLevel="0" collapsed="false">
      <c r="A40" s="43"/>
      <c r="B40" s="30"/>
      <c r="C40" s="30"/>
      <c r="D40" s="27"/>
      <c r="E40" s="41"/>
      <c r="F40" s="41"/>
      <c r="G40" s="41"/>
      <c r="H40" s="41"/>
      <c r="I40" s="41"/>
      <c r="J40" s="41"/>
      <c r="K40" s="30"/>
      <c r="L40" s="48" t="str">
        <f aca="false">IF(OR(F40="",I40=""),"",IF(F40&gt;=I40,"Yes","No"))</f>
        <v/>
      </c>
      <c r="M40" s="24" t="str">
        <f aca="false">IF(OR(F40="",I40="",I40=0),"",F40/I40-1)</f>
        <v/>
      </c>
      <c r="N40" s="24" t="str">
        <f aca="false">IF(OR(G40="",J40="",J40=0),"",G40/J40-1)</f>
        <v/>
      </c>
      <c r="O40" s="24" t="str">
        <f aca="false">IF(N40="","",ABS(N40))</f>
        <v/>
      </c>
    </row>
    <row r="41" customFormat="false" ht="15" hidden="false" customHeight="false" outlineLevel="0" collapsed="false">
      <c r="A41" s="43"/>
      <c r="B41" s="30"/>
      <c r="C41" s="30"/>
      <c r="D41" s="27"/>
      <c r="E41" s="41"/>
      <c r="F41" s="41"/>
      <c r="G41" s="41"/>
      <c r="H41" s="41"/>
      <c r="I41" s="41"/>
      <c r="J41" s="41"/>
      <c r="K41" s="30"/>
      <c r="L41" s="48" t="str">
        <f aca="false">IF(OR(F41="",I41=""),"",IF(F41&gt;=I41,"Yes","No"))</f>
        <v/>
      </c>
      <c r="M41" s="24" t="str">
        <f aca="false">IF(OR(F41="",I41="",I41=0),"",F41/I41-1)</f>
        <v/>
      </c>
      <c r="N41" s="24" t="str">
        <f aca="false">IF(OR(G41="",J41="",J41=0),"",G41/J41-1)</f>
        <v/>
      </c>
      <c r="O41" s="24" t="str">
        <f aca="false">IF(N41="","",ABS(N41))</f>
        <v/>
      </c>
    </row>
    <row r="42" customFormat="false" ht="15" hidden="false" customHeight="false" outlineLevel="0" collapsed="false">
      <c r="A42" s="43"/>
      <c r="B42" s="30"/>
      <c r="C42" s="30"/>
      <c r="D42" s="27"/>
      <c r="E42" s="41"/>
      <c r="F42" s="41"/>
      <c r="G42" s="41"/>
      <c r="H42" s="41"/>
      <c r="I42" s="41"/>
      <c r="J42" s="41"/>
      <c r="K42" s="30"/>
      <c r="L42" s="48" t="str">
        <f aca="false">IF(OR(F42="",I42=""),"",IF(F42&gt;=I42,"Yes","No"))</f>
        <v/>
      </c>
      <c r="M42" s="24" t="str">
        <f aca="false">IF(OR(F42="",I42="",I42=0),"",F42/I42-1)</f>
        <v/>
      </c>
      <c r="N42" s="24" t="str">
        <f aca="false">IF(OR(G42="",J42="",J42=0),"",G42/J42-1)</f>
        <v/>
      </c>
      <c r="O42" s="24" t="str">
        <f aca="false">IF(N42="","",ABS(N42))</f>
        <v/>
      </c>
    </row>
    <row r="43" customFormat="false" ht="15" hidden="false" customHeight="false" outlineLevel="0" collapsed="false">
      <c r="A43" s="43"/>
      <c r="B43" s="30"/>
      <c r="C43" s="30"/>
      <c r="D43" s="27"/>
      <c r="E43" s="41"/>
      <c r="F43" s="41"/>
      <c r="G43" s="41"/>
      <c r="H43" s="41"/>
      <c r="I43" s="41"/>
      <c r="J43" s="41"/>
      <c r="K43" s="30"/>
      <c r="L43" s="48" t="str">
        <f aca="false">IF(OR(F43="",I43=""),"",IF(F43&gt;=I43,"Yes","No"))</f>
        <v/>
      </c>
      <c r="M43" s="24" t="str">
        <f aca="false">IF(OR(F43="",I43="",I43=0),"",F43/I43-1)</f>
        <v/>
      </c>
      <c r="N43" s="24" t="str">
        <f aca="false">IF(OR(G43="",J43="",J43=0),"",G43/J43-1)</f>
        <v/>
      </c>
      <c r="O43" s="24" t="str">
        <f aca="false">IF(N43="","",ABS(N43))</f>
        <v/>
      </c>
    </row>
    <row r="44" customFormat="false" ht="15" hidden="false" customHeight="false" outlineLevel="0" collapsed="false">
      <c r="A44" s="43"/>
      <c r="B44" s="30"/>
      <c r="C44" s="30"/>
      <c r="D44" s="27"/>
      <c r="E44" s="41"/>
      <c r="F44" s="41"/>
      <c r="G44" s="41"/>
      <c r="H44" s="41"/>
      <c r="I44" s="41"/>
      <c r="J44" s="41"/>
      <c r="K44" s="30"/>
      <c r="L44" s="48" t="str">
        <f aca="false">IF(OR(F44="",I44=""),"",IF(F44&gt;=I44,"Yes","No"))</f>
        <v/>
      </c>
      <c r="M44" s="24" t="str">
        <f aca="false">IF(OR(F44="",I44="",I44=0),"",F44/I44-1)</f>
        <v/>
      </c>
      <c r="N44" s="24" t="str">
        <f aca="false">IF(OR(G44="",J44="",J44=0),"",G44/J44-1)</f>
        <v/>
      </c>
      <c r="O44" s="24" t="str">
        <f aca="false">IF(N44="","",ABS(N44))</f>
        <v/>
      </c>
    </row>
    <row r="45" customFormat="false" ht="15" hidden="false" customHeight="false" outlineLevel="0" collapsed="false">
      <c r="A45" s="43"/>
      <c r="B45" s="30"/>
      <c r="C45" s="30"/>
      <c r="D45" s="27"/>
      <c r="E45" s="41"/>
      <c r="F45" s="41"/>
      <c r="G45" s="41"/>
      <c r="H45" s="41"/>
      <c r="I45" s="41"/>
      <c r="J45" s="41"/>
      <c r="K45" s="30"/>
      <c r="L45" s="48" t="str">
        <f aca="false">IF(OR(F45="",I45=""),"",IF(F45&gt;=I45,"Yes","No"))</f>
        <v/>
      </c>
      <c r="M45" s="24" t="str">
        <f aca="false">IF(OR(F45="",I45="",I45=0),"",F45/I45-1)</f>
        <v/>
      </c>
      <c r="N45" s="24" t="str">
        <f aca="false">IF(OR(G45="",J45="",J45=0),"",G45/J45-1)</f>
        <v/>
      </c>
      <c r="O45" s="24" t="str">
        <f aca="false">IF(N45="","",ABS(N45))</f>
        <v/>
      </c>
    </row>
    <row r="46" customFormat="false" ht="15" hidden="false" customHeight="false" outlineLevel="0" collapsed="false">
      <c r="A46" s="43"/>
      <c r="B46" s="30"/>
      <c r="C46" s="30"/>
      <c r="D46" s="27"/>
      <c r="E46" s="41"/>
      <c r="F46" s="41"/>
      <c r="G46" s="41"/>
      <c r="H46" s="41"/>
      <c r="I46" s="41"/>
      <c r="J46" s="41"/>
      <c r="K46" s="30"/>
      <c r="L46" s="48" t="str">
        <f aca="false">IF(OR(F46="",I46=""),"",IF(F46&gt;=I46,"Yes","No"))</f>
        <v/>
      </c>
      <c r="M46" s="24" t="str">
        <f aca="false">IF(OR(F46="",I46="",I46=0),"",F46/I46-1)</f>
        <v/>
      </c>
      <c r="N46" s="24" t="str">
        <f aca="false">IF(OR(G46="",J46="",J46=0),"",G46/J46-1)</f>
        <v/>
      </c>
      <c r="O46" s="24" t="str">
        <f aca="false">IF(N46="","",ABS(N46))</f>
        <v/>
      </c>
    </row>
    <row r="47" customFormat="false" ht="15" hidden="false" customHeight="false" outlineLevel="0" collapsed="false">
      <c r="A47" s="43"/>
      <c r="B47" s="30"/>
      <c r="C47" s="30"/>
      <c r="D47" s="27"/>
      <c r="E47" s="41"/>
      <c r="F47" s="41"/>
      <c r="G47" s="41"/>
      <c r="H47" s="41"/>
      <c r="I47" s="41"/>
      <c r="J47" s="41"/>
      <c r="K47" s="30"/>
      <c r="L47" s="48" t="str">
        <f aca="false">IF(OR(F47="",I47=""),"",IF(F47&gt;=I47,"Yes","No"))</f>
        <v/>
      </c>
      <c r="M47" s="24" t="str">
        <f aca="false">IF(OR(F47="",I47="",I47=0),"",F47/I47-1)</f>
        <v/>
      </c>
      <c r="N47" s="24" t="str">
        <f aca="false">IF(OR(G47="",J47="",J47=0),"",G47/J47-1)</f>
        <v/>
      </c>
      <c r="O47" s="24" t="str">
        <f aca="false">IF(N47="","",ABS(N47))</f>
        <v/>
      </c>
    </row>
    <row r="48" customFormat="false" ht="15" hidden="false" customHeight="false" outlineLevel="0" collapsed="false">
      <c r="A48" s="43"/>
      <c r="B48" s="30"/>
      <c r="C48" s="30"/>
      <c r="D48" s="27"/>
      <c r="E48" s="41"/>
      <c r="F48" s="41"/>
      <c r="G48" s="41"/>
      <c r="H48" s="41"/>
      <c r="I48" s="41"/>
      <c r="J48" s="41"/>
      <c r="K48" s="30"/>
      <c r="L48" s="48" t="str">
        <f aca="false">IF(OR(F48="",I48=""),"",IF(F48&gt;=I48,"Yes","No"))</f>
        <v/>
      </c>
      <c r="M48" s="24" t="str">
        <f aca="false">IF(OR(F48="",I48="",I48=0),"",F48/I48-1)</f>
        <v/>
      </c>
      <c r="N48" s="24" t="str">
        <f aca="false">IF(OR(G48="",J48="",J48=0),"",G48/J48-1)</f>
        <v/>
      </c>
      <c r="O48" s="24" t="str">
        <f aca="false">IF(N48="","",ABS(N48))</f>
        <v/>
      </c>
    </row>
    <row r="49" customFormat="false" ht="15" hidden="false" customHeight="false" outlineLevel="0" collapsed="false">
      <c r="A49" s="43"/>
      <c r="B49" s="30"/>
      <c r="C49" s="30"/>
      <c r="D49" s="27"/>
      <c r="E49" s="41"/>
      <c r="F49" s="41"/>
      <c r="G49" s="41"/>
      <c r="H49" s="41"/>
      <c r="I49" s="41"/>
      <c r="J49" s="41"/>
      <c r="K49" s="30"/>
      <c r="L49" s="48" t="str">
        <f aca="false">IF(OR(F49="",I49=""),"",IF(F49&gt;=I49,"Yes","No"))</f>
        <v/>
      </c>
      <c r="M49" s="24" t="str">
        <f aca="false">IF(OR(F49="",I49="",I49=0),"",F49/I49-1)</f>
        <v/>
      </c>
      <c r="N49" s="24" t="str">
        <f aca="false">IF(OR(G49="",J49="",J49=0),"",G49/J49-1)</f>
        <v/>
      </c>
      <c r="O49" s="24" t="str">
        <f aca="false">IF(N49="","",ABS(N49))</f>
        <v/>
      </c>
    </row>
    <row r="50" customFormat="false" ht="15" hidden="false" customHeight="false" outlineLevel="0" collapsed="false">
      <c r="A50" s="43"/>
      <c r="B50" s="30"/>
      <c r="C50" s="30"/>
      <c r="D50" s="27"/>
      <c r="E50" s="41"/>
      <c r="F50" s="41"/>
      <c r="G50" s="41"/>
      <c r="H50" s="41"/>
      <c r="I50" s="41"/>
      <c r="J50" s="41"/>
      <c r="K50" s="30"/>
      <c r="L50" s="48" t="str">
        <f aca="false">IF(OR(F50="",I50=""),"",IF(F50&gt;=I50,"Yes","No"))</f>
        <v/>
      </c>
      <c r="M50" s="24" t="str">
        <f aca="false">IF(OR(F50="",I50="",I50=0),"",F50/I50-1)</f>
        <v/>
      </c>
      <c r="N50" s="24" t="str">
        <f aca="false">IF(OR(G50="",J50="",J50=0),"",G50/J50-1)</f>
        <v/>
      </c>
      <c r="O50" s="24" t="str">
        <f aca="false">IF(N50="","",ABS(N50))</f>
        <v/>
      </c>
    </row>
    <row r="51" customFormat="false" ht="15" hidden="false" customHeight="false" outlineLevel="0" collapsed="false">
      <c r="A51" s="43"/>
      <c r="B51" s="30"/>
      <c r="C51" s="30"/>
      <c r="D51" s="27"/>
      <c r="E51" s="41"/>
      <c r="F51" s="41"/>
      <c r="G51" s="41"/>
      <c r="H51" s="41"/>
      <c r="I51" s="41"/>
      <c r="J51" s="41"/>
      <c r="K51" s="30"/>
      <c r="L51" s="48" t="str">
        <f aca="false">IF(OR(F51="",I51=""),"",IF(F51&gt;=I51,"Yes","No"))</f>
        <v/>
      </c>
      <c r="M51" s="24" t="str">
        <f aca="false">IF(OR(F51="",I51="",I51=0),"",F51/I51-1)</f>
        <v/>
      </c>
      <c r="N51" s="24" t="str">
        <f aca="false">IF(OR(G51="",J51="",J51=0),"",G51/J51-1)</f>
        <v/>
      </c>
      <c r="O51" s="24" t="str">
        <f aca="false">IF(N51="","",ABS(N51))</f>
        <v/>
      </c>
    </row>
    <row r="52" customFormat="false" ht="15" hidden="false" customHeight="false" outlineLevel="0" collapsed="false">
      <c r="A52" s="43"/>
      <c r="B52" s="30"/>
      <c r="C52" s="30"/>
      <c r="D52" s="27"/>
      <c r="E52" s="41"/>
      <c r="F52" s="41"/>
      <c r="G52" s="41"/>
      <c r="H52" s="41"/>
      <c r="I52" s="41"/>
      <c r="J52" s="41"/>
      <c r="K52" s="30"/>
      <c r="L52" s="48" t="str">
        <f aca="false">IF(OR(F52="",I52=""),"",IF(F52&gt;=I52,"Yes","No"))</f>
        <v/>
      </c>
      <c r="M52" s="24" t="str">
        <f aca="false">IF(OR(F52="",I52="",I52=0),"",F52/I52-1)</f>
        <v/>
      </c>
      <c r="N52" s="24" t="str">
        <f aca="false">IF(OR(G52="",J52="",J52=0),"",G52/J52-1)</f>
        <v/>
      </c>
      <c r="O52" s="24" t="str">
        <f aca="false">IF(N52="","",ABS(N52))</f>
        <v/>
      </c>
    </row>
    <row r="53" customFormat="false" ht="15" hidden="false" customHeight="false" outlineLevel="0" collapsed="false">
      <c r="A53" s="43"/>
      <c r="B53" s="30"/>
      <c r="C53" s="30"/>
      <c r="D53" s="27"/>
      <c r="E53" s="41"/>
      <c r="F53" s="41"/>
      <c r="G53" s="41"/>
      <c r="H53" s="41"/>
      <c r="I53" s="41"/>
      <c r="J53" s="41"/>
      <c r="K53" s="30"/>
      <c r="L53" s="48" t="str">
        <f aca="false">IF(OR(F53="",I53=""),"",IF(F53&gt;=I53,"Yes","No"))</f>
        <v/>
      </c>
      <c r="M53" s="24" t="str">
        <f aca="false">IF(OR(F53="",I53="",I53=0),"",F53/I53-1)</f>
        <v/>
      </c>
      <c r="N53" s="24" t="str">
        <f aca="false">IF(OR(G53="",J53="",J53=0),"",G53/J53-1)</f>
        <v/>
      </c>
      <c r="O53" s="24" t="str">
        <f aca="false">IF(N53="","",ABS(N53))</f>
        <v/>
      </c>
    </row>
    <row r="54" customFormat="false" ht="15" hidden="false" customHeight="false" outlineLevel="0" collapsed="false">
      <c r="A54" s="43"/>
      <c r="B54" s="30"/>
      <c r="C54" s="30"/>
      <c r="D54" s="27"/>
      <c r="E54" s="41"/>
      <c r="F54" s="41"/>
      <c r="G54" s="41"/>
      <c r="H54" s="41"/>
      <c r="I54" s="41"/>
      <c r="J54" s="41"/>
      <c r="K54" s="30"/>
      <c r="L54" s="48" t="str">
        <f aca="false">IF(OR(F54="",I54=""),"",IF(F54&gt;=I54,"Yes","No"))</f>
        <v/>
      </c>
      <c r="M54" s="24" t="str">
        <f aca="false">IF(OR(F54="",I54="",I54=0),"",F54/I54-1)</f>
        <v/>
      </c>
      <c r="N54" s="24" t="str">
        <f aca="false">IF(OR(G54="",J54="",J54=0),"",G54/J54-1)</f>
        <v/>
      </c>
      <c r="O54" s="24" t="str">
        <f aca="false">IF(N54="","",ABS(N54))</f>
        <v/>
      </c>
    </row>
    <row r="55" customFormat="false" ht="15" hidden="false" customHeight="false" outlineLevel="0" collapsed="false">
      <c r="A55" s="43"/>
      <c r="B55" s="30"/>
      <c r="C55" s="30"/>
      <c r="D55" s="27"/>
      <c r="E55" s="41"/>
      <c r="F55" s="41"/>
      <c r="G55" s="41"/>
      <c r="H55" s="41"/>
      <c r="I55" s="41"/>
      <c r="J55" s="41"/>
      <c r="K55" s="30"/>
      <c r="L55" s="48" t="str">
        <f aca="false">IF(OR(F55="",I55=""),"",IF(F55&gt;=I55,"Yes","No"))</f>
        <v/>
      </c>
      <c r="M55" s="24" t="str">
        <f aca="false">IF(OR(F55="",I55="",I55=0),"",F55/I55-1)</f>
        <v/>
      </c>
      <c r="N55" s="24" t="str">
        <f aca="false">IF(OR(G55="",J55="",J55=0),"",G55/J55-1)</f>
        <v/>
      </c>
      <c r="O55" s="24" t="str">
        <f aca="false">IF(N55="","",ABS(N55))</f>
        <v/>
      </c>
    </row>
    <row r="56" customFormat="false" ht="15" hidden="false" customHeight="false" outlineLevel="0" collapsed="false">
      <c r="A56" s="43"/>
      <c r="B56" s="30"/>
      <c r="C56" s="30"/>
      <c r="D56" s="27"/>
      <c r="E56" s="41"/>
      <c r="F56" s="41"/>
      <c r="G56" s="41"/>
      <c r="H56" s="41"/>
      <c r="I56" s="41"/>
      <c r="J56" s="41"/>
      <c r="K56" s="30"/>
      <c r="L56" s="48" t="str">
        <f aca="false">IF(OR(F56="",I56=""),"",IF(F56&gt;=I56,"Yes","No"))</f>
        <v/>
      </c>
      <c r="M56" s="24" t="str">
        <f aca="false">IF(OR(F56="",I56="",I56=0),"",F56/I56-1)</f>
        <v/>
      </c>
      <c r="N56" s="24" t="str">
        <f aca="false">IF(OR(G56="",J56="",J56=0),"",G56/J56-1)</f>
        <v/>
      </c>
      <c r="O56" s="24" t="str">
        <f aca="false">IF(N56="","",ABS(N56))</f>
        <v/>
      </c>
    </row>
    <row r="57" customFormat="false" ht="15" hidden="false" customHeight="false" outlineLevel="0" collapsed="false">
      <c r="A57" s="43"/>
      <c r="B57" s="30"/>
      <c r="C57" s="30"/>
      <c r="D57" s="27"/>
      <c r="E57" s="41"/>
      <c r="F57" s="41"/>
      <c r="G57" s="41"/>
      <c r="H57" s="41"/>
      <c r="I57" s="41"/>
      <c r="J57" s="41"/>
      <c r="K57" s="30"/>
      <c r="L57" s="48" t="str">
        <f aca="false">IF(OR(F57="",I57=""),"",IF(F57&gt;=I57,"Yes","No"))</f>
        <v/>
      </c>
      <c r="M57" s="24" t="str">
        <f aca="false">IF(OR(F57="",I57="",I57=0),"",F57/I57-1)</f>
        <v/>
      </c>
      <c r="N57" s="24" t="str">
        <f aca="false">IF(OR(G57="",J57="",J57=0),"",G57/J57-1)</f>
        <v/>
      </c>
      <c r="O57" s="24" t="str">
        <f aca="false">IF(N57="","",ABS(N57))</f>
        <v/>
      </c>
    </row>
    <row r="58" customFormat="false" ht="15" hidden="false" customHeight="false" outlineLevel="0" collapsed="false">
      <c r="A58" s="43"/>
      <c r="B58" s="30"/>
      <c r="C58" s="30"/>
      <c r="D58" s="27"/>
      <c r="E58" s="41"/>
      <c r="F58" s="41"/>
      <c r="G58" s="41"/>
      <c r="H58" s="41"/>
      <c r="I58" s="41"/>
      <c r="J58" s="41"/>
      <c r="K58" s="30"/>
      <c r="L58" s="48" t="str">
        <f aca="false">IF(OR(F58="",I58=""),"",IF(F58&gt;=I58,"Yes","No"))</f>
        <v/>
      </c>
      <c r="M58" s="24" t="str">
        <f aca="false">IF(OR(F58="",I58="",I58=0),"",F58/I58-1)</f>
        <v/>
      </c>
      <c r="N58" s="24" t="str">
        <f aca="false">IF(OR(G58="",J58="",J58=0),"",G58/J58-1)</f>
        <v/>
      </c>
      <c r="O58" s="24" t="str">
        <f aca="false">IF(N58="","",ABS(N58))</f>
        <v/>
      </c>
    </row>
    <row r="59" customFormat="false" ht="15" hidden="false" customHeight="false" outlineLevel="0" collapsed="false">
      <c r="A59" s="43"/>
      <c r="B59" s="30"/>
      <c r="C59" s="30"/>
      <c r="D59" s="27"/>
      <c r="E59" s="41"/>
      <c r="F59" s="41"/>
      <c r="G59" s="41"/>
      <c r="H59" s="41"/>
      <c r="I59" s="41"/>
      <c r="J59" s="41"/>
      <c r="K59" s="30"/>
      <c r="L59" s="48" t="str">
        <f aca="false">IF(OR(F59="",I59=""),"",IF(F59&gt;=I59,"Yes","No"))</f>
        <v/>
      </c>
      <c r="M59" s="24" t="str">
        <f aca="false">IF(OR(F59="",I59="",I59=0),"",F59/I59-1)</f>
        <v/>
      </c>
      <c r="N59" s="24" t="str">
        <f aca="false">IF(OR(G59="",J59="",J59=0),"",G59/J59-1)</f>
        <v/>
      </c>
      <c r="O59" s="24" t="str">
        <f aca="false">IF(N59="","",ABS(N59))</f>
        <v/>
      </c>
    </row>
    <row r="60" customFormat="false" ht="15" hidden="false" customHeight="false" outlineLevel="0" collapsed="false">
      <c r="A60" s="43"/>
      <c r="B60" s="30"/>
      <c r="C60" s="30"/>
      <c r="D60" s="27"/>
      <c r="E60" s="41"/>
      <c r="F60" s="41"/>
      <c r="G60" s="41"/>
      <c r="H60" s="41"/>
      <c r="I60" s="41"/>
      <c r="J60" s="41"/>
      <c r="K60" s="30"/>
      <c r="L60" s="48" t="str">
        <f aca="false">IF(OR(F60="",I60=""),"",IF(F60&gt;=I60,"Yes","No"))</f>
        <v/>
      </c>
      <c r="M60" s="24" t="str">
        <f aca="false">IF(OR(F60="",I60="",I60=0),"",F60/I60-1)</f>
        <v/>
      </c>
      <c r="N60" s="24" t="str">
        <f aca="false">IF(OR(G60="",J60="",J60=0),"",G60/J60-1)</f>
        <v/>
      </c>
      <c r="O60" s="24" t="str">
        <f aca="false">IF(N60="","",ABS(N60))</f>
        <v/>
      </c>
    </row>
    <row r="61" customFormat="false" ht="15" hidden="false" customHeight="false" outlineLevel="0" collapsed="false">
      <c r="A61" s="43"/>
      <c r="B61" s="30"/>
      <c r="C61" s="30"/>
      <c r="D61" s="27"/>
      <c r="E61" s="41"/>
      <c r="F61" s="41"/>
      <c r="G61" s="41"/>
      <c r="H61" s="41"/>
      <c r="I61" s="41"/>
      <c r="J61" s="41"/>
      <c r="K61" s="30"/>
      <c r="L61" s="48" t="str">
        <f aca="false">IF(OR(F61="",I61=""),"",IF(F61&gt;=I61,"Yes","No"))</f>
        <v/>
      </c>
      <c r="M61" s="24" t="str">
        <f aca="false">IF(OR(F61="",I61="",I61=0),"",F61/I61-1)</f>
        <v/>
      </c>
      <c r="N61" s="24" t="str">
        <f aca="false">IF(OR(G61="",J61="",J61=0),"",G61/J61-1)</f>
        <v/>
      </c>
      <c r="O61" s="24" t="str">
        <f aca="false">IF(N61="","",ABS(N61))</f>
        <v/>
      </c>
    </row>
    <row r="62" customFormat="false" ht="15" hidden="false" customHeight="false" outlineLevel="0" collapsed="false">
      <c r="A62" s="43"/>
      <c r="B62" s="30"/>
      <c r="C62" s="30"/>
      <c r="D62" s="27"/>
      <c r="E62" s="41"/>
      <c r="F62" s="41"/>
      <c r="G62" s="41"/>
      <c r="H62" s="41"/>
      <c r="I62" s="41"/>
      <c r="J62" s="41"/>
      <c r="K62" s="30"/>
      <c r="L62" s="48" t="str">
        <f aca="false">IF(OR(F62="",I62=""),"",IF(F62&gt;=I62,"Yes","No"))</f>
        <v/>
      </c>
      <c r="M62" s="24" t="str">
        <f aca="false">IF(OR(F62="",I62="",I62=0),"",F62/I62-1)</f>
        <v/>
      </c>
      <c r="N62" s="24" t="str">
        <f aca="false">IF(OR(G62="",J62="",J62=0),"",G62/J62-1)</f>
        <v/>
      </c>
      <c r="O62" s="24" t="str">
        <f aca="false">IF(N62="","",ABS(N62))</f>
        <v/>
      </c>
    </row>
    <row r="63" customFormat="false" ht="15" hidden="false" customHeight="false" outlineLevel="0" collapsed="false">
      <c r="A63" s="43"/>
      <c r="B63" s="30"/>
      <c r="C63" s="30"/>
      <c r="D63" s="27"/>
      <c r="E63" s="41"/>
      <c r="F63" s="41"/>
      <c r="G63" s="41"/>
      <c r="H63" s="41"/>
      <c r="I63" s="41"/>
      <c r="J63" s="41"/>
      <c r="K63" s="30"/>
      <c r="L63" s="48" t="str">
        <f aca="false">IF(OR(F63="",I63=""),"",IF(F63&gt;=I63,"Yes","No"))</f>
        <v/>
      </c>
      <c r="M63" s="24" t="str">
        <f aca="false">IF(OR(F63="",I63="",I63=0),"",F63/I63-1)</f>
        <v/>
      </c>
      <c r="N63" s="24" t="str">
        <f aca="false">IF(OR(G63="",J63="",J63=0),"",G63/J63-1)</f>
        <v/>
      </c>
      <c r="O63" s="24" t="str">
        <f aca="false">IF(N63="","",ABS(N63))</f>
        <v/>
      </c>
    </row>
    <row r="64" customFormat="false" ht="15" hidden="false" customHeight="false" outlineLevel="0" collapsed="false">
      <c r="A64" s="43"/>
      <c r="B64" s="30"/>
      <c r="C64" s="30"/>
      <c r="D64" s="27"/>
      <c r="E64" s="41"/>
      <c r="F64" s="41"/>
      <c r="G64" s="41"/>
      <c r="H64" s="41"/>
      <c r="I64" s="41"/>
      <c r="J64" s="41"/>
      <c r="K64" s="30"/>
      <c r="L64" s="48" t="str">
        <f aca="false">IF(OR(F64="",I64=""),"",IF(F64&gt;=I64,"Yes","No"))</f>
        <v/>
      </c>
      <c r="M64" s="24" t="str">
        <f aca="false">IF(OR(F64="",I64="",I64=0),"",F64/I64-1)</f>
        <v/>
      </c>
      <c r="N64" s="24" t="str">
        <f aca="false">IF(OR(G64="",J64="",J64=0),"",G64/J64-1)</f>
        <v/>
      </c>
      <c r="O64" s="24" t="str">
        <f aca="false">IF(N64="","",ABS(N64))</f>
        <v/>
      </c>
    </row>
    <row r="65" customFormat="false" ht="15" hidden="false" customHeight="false" outlineLevel="0" collapsed="false">
      <c r="A65" s="43"/>
      <c r="B65" s="30"/>
      <c r="C65" s="30"/>
      <c r="D65" s="27"/>
      <c r="E65" s="41"/>
      <c r="F65" s="41"/>
      <c r="G65" s="41"/>
      <c r="H65" s="41"/>
      <c r="I65" s="41"/>
      <c r="J65" s="41"/>
      <c r="K65" s="30"/>
      <c r="L65" s="48" t="str">
        <f aca="false">IF(OR(F65="",I65=""),"",IF(F65&gt;=I65,"Yes","No"))</f>
        <v/>
      </c>
      <c r="M65" s="24" t="str">
        <f aca="false">IF(OR(F65="",I65="",I65=0),"",F65/I65-1)</f>
        <v/>
      </c>
      <c r="N65" s="24" t="str">
        <f aca="false">IF(OR(G65="",J65="",J65=0),"",G65/J65-1)</f>
        <v/>
      </c>
      <c r="O65" s="24" t="str">
        <f aca="false">IF(N65="","",ABS(N65))</f>
        <v/>
      </c>
    </row>
    <row r="66" customFormat="false" ht="15" hidden="false" customHeight="false" outlineLevel="0" collapsed="false">
      <c r="A66" s="43"/>
      <c r="B66" s="30"/>
      <c r="C66" s="30"/>
      <c r="D66" s="27"/>
      <c r="E66" s="41"/>
      <c r="F66" s="41"/>
      <c r="G66" s="41"/>
      <c r="H66" s="41"/>
      <c r="I66" s="41"/>
      <c r="J66" s="41"/>
      <c r="K66" s="30"/>
      <c r="L66" s="48" t="str">
        <f aca="false">IF(OR(F66="",I66=""),"",IF(F66&gt;=I66,"Yes","No"))</f>
        <v/>
      </c>
      <c r="M66" s="24" t="str">
        <f aca="false">IF(OR(F66="",I66="",I66=0),"",F66/I66-1)</f>
        <v/>
      </c>
      <c r="N66" s="24" t="str">
        <f aca="false">IF(OR(G66="",J66="",J66=0),"",G66/J66-1)</f>
        <v/>
      </c>
      <c r="O66" s="24" t="str">
        <f aca="false">IF(N66="","",ABS(N66))</f>
        <v/>
      </c>
    </row>
    <row r="67" customFormat="false" ht="15" hidden="false" customHeight="false" outlineLevel="0" collapsed="false">
      <c r="A67" s="43"/>
      <c r="B67" s="30"/>
      <c r="C67" s="30"/>
      <c r="D67" s="27"/>
      <c r="E67" s="41"/>
      <c r="F67" s="41"/>
      <c r="G67" s="41"/>
      <c r="H67" s="41"/>
      <c r="I67" s="41"/>
      <c r="J67" s="41"/>
      <c r="K67" s="30"/>
      <c r="L67" s="48" t="str">
        <f aca="false">IF(OR(F67="",I67=""),"",IF(F67&gt;=I67,"Yes","No"))</f>
        <v/>
      </c>
      <c r="M67" s="24" t="str">
        <f aca="false">IF(OR(F67="",I67="",I67=0),"",F67/I67-1)</f>
        <v/>
      </c>
      <c r="N67" s="24" t="str">
        <f aca="false">IF(OR(G67="",J67="",J67=0),"",G67/J67-1)</f>
        <v/>
      </c>
      <c r="O67" s="24" t="str">
        <f aca="false">IF(N67="","",ABS(N67))</f>
        <v/>
      </c>
    </row>
    <row r="68" customFormat="false" ht="15" hidden="false" customHeight="false" outlineLevel="0" collapsed="false">
      <c r="A68" s="43"/>
      <c r="B68" s="30"/>
      <c r="C68" s="30"/>
      <c r="D68" s="27"/>
      <c r="E68" s="41"/>
      <c r="F68" s="41"/>
      <c r="G68" s="41"/>
      <c r="H68" s="41"/>
      <c r="I68" s="41"/>
      <c r="J68" s="41"/>
      <c r="K68" s="30"/>
      <c r="L68" s="48" t="str">
        <f aca="false">IF(OR(F68="",I68=""),"",IF(F68&gt;=I68,"Yes","No"))</f>
        <v/>
      </c>
      <c r="M68" s="24" t="str">
        <f aca="false">IF(OR(F68="",I68="",I68=0),"",F68/I68-1)</f>
        <v/>
      </c>
      <c r="N68" s="24" t="str">
        <f aca="false">IF(OR(G68="",J68="",J68=0),"",G68/J68-1)</f>
        <v/>
      </c>
      <c r="O68" s="24" t="str">
        <f aca="false">IF(N68="","",ABS(N68))</f>
        <v/>
      </c>
    </row>
    <row r="69" customFormat="false" ht="15" hidden="false" customHeight="false" outlineLevel="0" collapsed="false">
      <c r="A69" s="43"/>
      <c r="B69" s="30"/>
      <c r="C69" s="30"/>
      <c r="D69" s="27"/>
      <c r="E69" s="41"/>
      <c r="F69" s="41"/>
      <c r="G69" s="41"/>
      <c r="H69" s="41"/>
      <c r="I69" s="41"/>
      <c r="J69" s="41"/>
      <c r="K69" s="30"/>
      <c r="L69" s="48" t="str">
        <f aca="false">IF(OR(F69="",I69=""),"",IF(F69&gt;=I69,"Yes","No"))</f>
        <v/>
      </c>
      <c r="M69" s="24" t="str">
        <f aca="false">IF(OR(F69="",I69="",I69=0),"",F69/I69-1)</f>
        <v/>
      </c>
      <c r="N69" s="24" t="str">
        <f aca="false">IF(OR(G69="",J69="",J69=0),"",G69/J69-1)</f>
        <v/>
      </c>
      <c r="O69" s="24" t="str">
        <f aca="false">IF(N69="","",ABS(N69))</f>
        <v/>
      </c>
    </row>
    <row r="70" customFormat="false" ht="15" hidden="false" customHeight="false" outlineLevel="0" collapsed="false">
      <c r="A70" s="43"/>
      <c r="B70" s="30"/>
      <c r="C70" s="30"/>
      <c r="D70" s="27"/>
      <c r="E70" s="41"/>
      <c r="F70" s="41"/>
      <c r="G70" s="41"/>
      <c r="H70" s="41"/>
      <c r="I70" s="41"/>
      <c r="J70" s="41"/>
      <c r="K70" s="30"/>
      <c r="L70" s="48" t="str">
        <f aca="false">IF(OR(F70="",I70=""),"",IF(F70&gt;=I70,"Yes","No"))</f>
        <v/>
      </c>
      <c r="M70" s="24" t="str">
        <f aca="false">IF(OR(F70="",I70="",I70=0),"",F70/I70-1)</f>
        <v/>
      </c>
      <c r="N70" s="24" t="str">
        <f aca="false">IF(OR(G70="",J70="",J70=0),"",G70/J70-1)</f>
        <v/>
      </c>
      <c r="O70" s="24" t="str">
        <f aca="false">IF(N70="","",ABS(N70))</f>
        <v/>
      </c>
    </row>
    <row r="71" customFormat="false" ht="15" hidden="false" customHeight="false" outlineLevel="0" collapsed="false">
      <c r="A71" s="43"/>
      <c r="B71" s="30"/>
      <c r="C71" s="30"/>
      <c r="D71" s="27"/>
      <c r="E71" s="41"/>
      <c r="F71" s="41"/>
      <c r="G71" s="41"/>
      <c r="H71" s="41"/>
      <c r="I71" s="41"/>
      <c r="J71" s="41"/>
      <c r="K71" s="30"/>
      <c r="L71" s="48" t="str">
        <f aca="false">IF(OR(F71="",I71=""),"",IF(F71&gt;=I71,"Yes","No"))</f>
        <v/>
      </c>
      <c r="M71" s="24" t="str">
        <f aca="false">IF(OR(F71="",I71="",I71=0),"",F71/I71-1)</f>
        <v/>
      </c>
      <c r="N71" s="24" t="str">
        <f aca="false">IF(OR(G71="",J71="",J71=0),"",G71/J71-1)</f>
        <v/>
      </c>
      <c r="O71" s="24" t="str">
        <f aca="false">IF(N71="","",ABS(N71))</f>
        <v/>
      </c>
    </row>
    <row r="72" customFormat="false" ht="15" hidden="false" customHeight="false" outlineLevel="0" collapsed="false">
      <c r="A72" s="43"/>
      <c r="B72" s="30"/>
      <c r="C72" s="30"/>
      <c r="D72" s="27"/>
      <c r="E72" s="41"/>
      <c r="F72" s="41"/>
      <c r="G72" s="41"/>
      <c r="H72" s="41"/>
      <c r="I72" s="41"/>
      <c r="J72" s="41"/>
      <c r="K72" s="30"/>
      <c r="L72" s="48" t="str">
        <f aca="false">IF(OR(F72="",I72=""),"",IF(F72&gt;=I72,"Yes","No"))</f>
        <v/>
      </c>
      <c r="M72" s="24" t="str">
        <f aca="false">IF(OR(F72="",I72="",I72=0),"",F72/I72-1)</f>
        <v/>
      </c>
      <c r="N72" s="24" t="str">
        <f aca="false">IF(OR(G72="",J72="",J72=0),"",G72/J72-1)</f>
        <v/>
      </c>
      <c r="O72" s="24" t="str">
        <f aca="false">IF(N72="","",ABS(N72))</f>
        <v/>
      </c>
    </row>
    <row r="73" customFormat="false" ht="15" hidden="false" customHeight="false" outlineLevel="0" collapsed="false">
      <c r="A73" s="43"/>
      <c r="B73" s="30"/>
      <c r="C73" s="30"/>
      <c r="D73" s="27"/>
      <c r="E73" s="41"/>
      <c r="F73" s="41"/>
      <c r="G73" s="41"/>
      <c r="H73" s="41"/>
      <c r="I73" s="41"/>
      <c r="J73" s="41"/>
      <c r="K73" s="30"/>
      <c r="L73" s="48" t="str">
        <f aca="false">IF(OR(F73="",I73=""),"",IF(F73&gt;=I73,"Yes","No"))</f>
        <v/>
      </c>
      <c r="M73" s="24" t="str">
        <f aca="false">IF(OR(F73="",I73="",I73=0),"",F73/I73-1)</f>
        <v/>
      </c>
      <c r="N73" s="24" t="str">
        <f aca="false">IF(OR(G73="",J73="",J73=0),"",G73/J73-1)</f>
        <v/>
      </c>
      <c r="O73" s="24" t="str">
        <f aca="false">IF(N73="","",ABS(N73))</f>
        <v/>
      </c>
    </row>
    <row r="74" customFormat="false" ht="15" hidden="false" customHeight="false" outlineLevel="0" collapsed="false">
      <c r="A74" s="43"/>
      <c r="B74" s="30"/>
      <c r="C74" s="30"/>
      <c r="D74" s="27"/>
      <c r="E74" s="41"/>
      <c r="F74" s="41"/>
      <c r="G74" s="41"/>
      <c r="H74" s="41"/>
      <c r="I74" s="41"/>
      <c r="J74" s="41"/>
      <c r="K74" s="30"/>
      <c r="L74" s="48" t="str">
        <f aca="false">IF(OR(F74="",I74=""),"",IF(F74&gt;=I74,"Yes","No"))</f>
        <v/>
      </c>
      <c r="M74" s="24" t="str">
        <f aca="false">IF(OR(F74="",I74="",I74=0),"",F74/I74-1)</f>
        <v/>
      </c>
      <c r="N74" s="24" t="str">
        <f aca="false">IF(OR(G74="",J74="",J74=0),"",G74/J74-1)</f>
        <v/>
      </c>
      <c r="O74" s="24" t="str">
        <f aca="false">IF(N74="","",ABS(N74))</f>
        <v/>
      </c>
    </row>
    <row r="75" customFormat="false" ht="15" hidden="false" customHeight="false" outlineLevel="0" collapsed="false">
      <c r="A75" s="43"/>
      <c r="B75" s="30"/>
      <c r="C75" s="30"/>
      <c r="D75" s="27"/>
      <c r="E75" s="41"/>
      <c r="F75" s="41"/>
      <c r="G75" s="41"/>
      <c r="H75" s="41"/>
      <c r="I75" s="41"/>
      <c r="J75" s="41"/>
      <c r="K75" s="30"/>
      <c r="L75" s="48" t="str">
        <f aca="false">IF(OR(F75="",I75=""),"",IF(F75&gt;=I75,"Yes","No"))</f>
        <v/>
      </c>
      <c r="M75" s="24" t="str">
        <f aca="false">IF(OR(F75="",I75="",I75=0),"",F75/I75-1)</f>
        <v/>
      </c>
      <c r="N75" s="24" t="str">
        <f aca="false">IF(OR(G75="",J75="",J75=0),"",G75/J75-1)</f>
        <v/>
      </c>
      <c r="O75" s="24" t="str">
        <f aca="false">IF(N75="","",ABS(N75))</f>
        <v/>
      </c>
    </row>
    <row r="76" customFormat="false" ht="15" hidden="false" customHeight="false" outlineLevel="0" collapsed="false">
      <c r="A76" s="43"/>
      <c r="B76" s="30"/>
      <c r="C76" s="30"/>
      <c r="D76" s="27"/>
      <c r="E76" s="41"/>
      <c r="F76" s="41"/>
      <c r="G76" s="41"/>
      <c r="H76" s="41"/>
      <c r="I76" s="41"/>
      <c r="J76" s="41"/>
      <c r="K76" s="30"/>
      <c r="L76" s="48" t="str">
        <f aca="false">IF(OR(F76="",I76=""),"",IF(F76&gt;=I76,"Yes","No"))</f>
        <v/>
      </c>
      <c r="M76" s="24" t="str">
        <f aca="false">IF(OR(F76="",I76="",I76=0),"",F76/I76-1)</f>
        <v/>
      </c>
      <c r="N76" s="24" t="str">
        <f aca="false">IF(OR(G76="",J76="",J76=0),"",G76/J76-1)</f>
        <v/>
      </c>
      <c r="O76" s="24" t="str">
        <f aca="false">IF(N76="","",ABS(N76))</f>
        <v/>
      </c>
    </row>
    <row r="77" customFormat="false" ht="15" hidden="false" customHeight="false" outlineLevel="0" collapsed="false">
      <c r="A77" s="43"/>
      <c r="B77" s="30"/>
      <c r="C77" s="30"/>
      <c r="D77" s="27"/>
      <c r="E77" s="41"/>
      <c r="F77" s="41"/>
      <c r="G77" s="41"/>
      <c r="H77" s="41"/>
      <c r="I77" s="41"/>
      <c r="J77" s="41"/>
      <c r="K77" s="30"/>
      <c r="L77" s="48" t="str">
        <f aca="false">IF(OR(F77="",I77=""),"",IF(F77&gt;=I77,"Yes","No"))</f>
        <v/>
      </c>
      <c r="M77" s="24" t="str">
        <f aca="false">IF(OR(F77="",I77="",I77=0),"",F77/I77-1)</f>
        <v/>
      </c>
      <c r="N77" s="24" t="str">
        <f aca="false">IF(OR(G77="",J77="",J77=0),"",G77/J77-1)</f>
        <v/>
      </c>
      <c r="O77" s="24" t="str">
        <f aca="false">IF(N77="","",ABS(N77))</f>
        <v/>
      </c>
    </row>
    <row r="78" customFormat="false" ht="15" hidden="false" customHeight="false" outlineLevel="0" collapsed="false">
      <c r="A78" s="43"/>
      <c r="B78" s="30"/>
      <c r="C78" s="30"/>
      <c r="D78" s="27"/>
      <c r="E78" s="41"/>
      <c r="F78" s="41"/>
      <c r="G78" s="41"/>
      <c r="H78" s="41"/>
      <c r="I78" s="41"/>
      <c r="J78" s="41"/>
      <c r="K78" s="30"/>
      <c r="L78" s="48" t="str">
        <f aca="false">IF(OR(F78="",I78=""),"",IF(F78&gt;=I78,"Yes","No"))</f>
        <v/>
      </c>
      <c r="M78" s="24" t="str">
        <f aca="false">IF(OR(F78="",I78="",I78=0),"",F78/I78-1)</f>
        <v/>
      </c>
      <c r="N78" s="24" t="str">
        <f aca="false">IF(OR(G78="",J78="",J78=0),"",G78/J78-1)</f>
        <v/>
      </c>
      <c r="O78" s="24" t="str">
        <f aca="false">IF(N78="","",ABS(N78))</f>
        <v/>
      </c>
    </row>
    <row r="79" customFormat="false" ht="15" hidden="false" customHeight="false" outlineLevel="0" collapsed="false">
      <c r="A79" s="43"/>
      <c r="B79" s="30"/>
      <c r="C79" s="30"/>
      <c r="D79" s="27"/>
      <c r="E79" s="41"/>
      <c r="F79" s="41"/>
      <c r="G79" s="41"/>
      <c r="H79" s="41"/>
      <c r="I79" s="41"/>
      <c r="J79" s="41"/>
      <c r="K79" s="30"/>
      <c r="L79" s="48" t="str">
        <f aca="false">IF(OR(F79="",I79=""),"",IF(F79&gt;=I79,"Yes","No"))</f>
        <v/>
      </c>
      <c r="M79" s="24" t="str">
        <f aca="false">IF(OR(F79="",I79="",I79=0),"",F79/I79-1)</f>
        <v/>
      </c>
      <c r="N79" s="24" t="str">
        <f aca="false">IF(OR(G79="",J79="",J79=0),"",G79/J79-1)</f>
        <v/>
      </c>
      <c r="O79" s="24" t="str">
        <f aca="false">IF(N79="","",ABS(N79))</f>
        <v/>
      </c>
    </row>
    <row r="80" customFormat="false" ht="15" hidden="false" customHeight="false" outlineLevel="0" collapsed="false">
      <c r="A80" s="43"/>
      <c r="B80" s="30"/>
      <c r="C80" s="30"/>
      <c r="D80" s="27"/>
      <c r="E80" s="41"/>
      <c r="F80" s="41"/>
      <c r="G80" s="41"/>
      <c r="H80" s="41"/>
      <c r="I80" s="41"/>
      <c r="J80" s="41"/>
      <c r="K80" s="30"/>
      <c r="L80" s="48" t="str">
        <f aca="false">IF(OR(F80="",I80=""),"",IF(F80&gt;=I80,"Yes","No"))</f>
        <v/>
      </c>
      <c r="M80" s="24" t="str">
        <f aca="false">IF(OR(F80="",I80="",I80=0),"",F80/I80-1)</f>
        <v/>
      </c>
      <c r="N80" s="24" t="str">
        <f aca="false">IF(OR(G80="",J80="",J80=0),"",G80/J80-1)</f>
        <v/>
      </c>
      <c r="O80" s="24" t="str">
        <f aca="false">IF(N80="","",ABS(N80))</f>
        <v/>
      </c>
    </row>
    <row r="81" customFormat="false" ht="15" hidden="false" customHeight="false" outlineLevel="0" collapsed="false">
      <c r="A81" s="43"/>
      <c r="B81" s="30"/>
      <c r="C81" s="30"/>
      <c r="D81" s="27"/>
      <c r="E81" s="41"/>
      <c r="F81" s="41"/>
      <c r="G81" s="41"/>
      <c r="H81" s="41"/>
      <c r="I81" s="41"/>
      <c r="J81" s="41"/>
      <c r="K81" s="30"/>
      <c r="L81" s="48" t="str">
        <f aca="false">IF(OR(F81="",I81=""),"",IF(F81&gt;=I81,"Yes","No"))</f>
        <v/>
      </c>
      <c r="M81" s="24" t="str">
        <f aca="false">IF(OR(F81="",I81="",I81=0),"",F81/I81-1)</f>
        <v/>
      </c>
      <c r="N81" s="24" t="str">
        <f aca="false">IF(OR(G81="",J81="",J81=0),"",G81/J81-1)</f>
        <v/>
      </c>
      <c r="O81" s="24" t="str">
        <f aca="false">IF(N81="","",ABS(N81))</f>
        <v/>
      </c>
    </row>
    <row r="82" customFormat="false" ht="15" hidden="false" customHeight="false" outlineLevel="0" collapsed="false">
      <c r="A82" s="43"/>
      <c r="B82" s="30"/>
      <c r="C82" s="30"/>
      <c r="D82" s="27"/>
      <c r="E82" s="41"/>
      <c r="F82" s="41"/>
      <c r="G82" s="41"/>
      <c r="H82" s="41"/>
      <c r="I82" s="41"/>
      <c r="J82" s="41"/>
      <c r="K82" s="30"/>
      <c r="L82" s="48" t="str">
        <f aca="false">IF(OR(F82="",I82=""),"",IF(F82&gt;=I82,"Yes","No"))</f>
        <v/>
      </c>
      <c r="M82" s="24" t="str">
        <f aca="false">IF(OR(F82="",I82="",I82=0),"",F82/I82-1)</f>
        <v/>
      </c>
      <c r="N82" s="24" t="str">
        <f aca="false">IF(OR(G82="",J82="",J82=0),"",G82/J82-1)</f>
        <v/>
      </c>
      <c r="O82" s="24" t="str">
        <f aca="false">IF(N82="","",ABS(N82))</f>
        <v/>
      </c>
    </row>
    <row r="83" customFormat="false" ht="15" hidden="false" customHeight="false" outlineLevel="0" collapsed="false">
      <c r="A83" s="43"/>
      <c r="B83" s="30"/>
      <c r="C83" s="30"/>
      <c r="D83" s="27"/>
      <c r="E83" s="41"/>
      <c r="F83" s="41"/>
      <c r="G83" s="41"/>
      <c r="H83" s="41"/>
      <c r="I83" s="41"/>
      <c r="J83" s="41"/>
      <c r="K83" s="30"/>
      <c r="L83" s="48" t="str">
        <f aca="false">IF(OR(F83="",I83=""),"",IF(F83&gt;=I83,"Yes","No"))</f>
        <v/>
      </c>
      <c r="M83" s="24" t="str">
        <f aca="false">IF(OR(F83="",I83="",I83=0),"",F83/I83-1)</f>
        <v/>
      </c>
      <c r="N83" s="24" t="str">
        <f aca="false">IF(OR(G83="",J83="",J83=0),"",G83/J83-1)</f>
        <v/>
      </c>
      <c r="O83" s="24" t="str">
        <f aca="false">IF(N83="","",ABS(N83))</f>
        <v/>
      </c>
    </row>
    <row r="84" customFormat="false" ht="15" hidden="false" customHeight="false" outlineLevel="0" collapsed="false">
      <c r="A84" s="43"/>
      <c r="B84" s="30"/>
      <c r="C84" s="30"/>
      <c r="D84" s="27"/>
      <c r="E84" s="41"/>
      <c r="F84" s="41"/>
      <c r="G84" s="41"/>
      <c r="H84" s="41"/>
      <c r="I84" s="41"/>
      <c r="J84" s="41"/>
      <c r="K84" s="30"/>
      <c r="L84" s="48" t="str">
        <f aca="false">IF(OR(F84="",I84=""),"",IF(F84&gt;=I84,"Yes","No"))</f>
        <v/>
      </c>
      <c r="M84" s="24" t="str">
        <f aca="false">IF(OR(F84="",I84="",I84=0),"",F84/I84-1)</f>
        <v/>
      </c>
      <c r="N84" s="24" t="str">
        <f aca="false">IF(OR(G84="",J84="",J84=0),"",G84/J84-1)</f>
        <v/>
      </c>
      <c r="O84" s="24" t="str">
        <f aca="false">IF(N84="","",ABS(N84))</f>
        <v/>
      </c>
    </row>
    <row r="85" customFormat="false" ht="15" hidden="false" customHeight="false" outlineLevel="0" collapsed="false">
      <c r="A85" s="43"/>
      <c r="B85" s="30"/>
      <c r="C85" s="30"/>
      <c r="D85" s="27"/>
      <c r="E85" s="41"/>
      <c r="F85" s="41"/>
      <c r="G85" s="41"/>
      <c r="H85" s="41"/>
      <c r="I85" s="41"/>
      <c r="J85" s="41"/>
      <c r="K85" s="30"/>
      <c r="L85" s="48" t="str">
        <f aca="false">IF(OR(F85="",I85=""),"",IF(F85&gt;=I85,"Yes","No"))</f>
        <v/>
      </c>
      <c r="M85" s="24" t="str">
        <f aca="false">IF(OR(F85="",I85="",I85=0),"",F85/I85-1)</f>
        <v/>
      </c>
      <c r="N85" s="24" t="str">
        <f aca="false">IF(OR(G85="",J85="",J85=0),"",G85/J85-1)</f>
        <v/>
      </c>
      <c r="O85" s="24" t="str">
        <f aca="false">IF(N85="","",ABS(N85))</f>
        <v/>
      </c>
    </row>
    <row r="86" customFormat="false" ht="15" hidden="false" customHeight="false" outlineLevel="0" collapsed="false">
      <c r="A86" s="43"/>
      <c r="B86" s="30"/>
      <c r="C86" s="30"/>
      <c r="D86" s="27"/>
      <c r="E86" s="41"/>
      <c r="F86" s="41"/>
      <c r="G86" s="41"/>
      <c r="H86" s="41"/>
      <c r="I86" s="41"/>
      <c r="J86" s="41"/>
      <c r="K86" s="30"/>
      <c r="L86" s="48" t="str">
        <f aca="false">IF(OR(F86="",I86=""),"",IF(F86&gt;=I86,"Yes","No"))</f>
        <v/>
      </c>
      <c r="M86" s="24" t="str">
        <f aca="false">IF(OR(F86="",I86="",I86=0),"",F86/I86-1)</f>
        <v/>
      </c>
      <c r="N86" s="24" t="str">
        <f aca="false">IF(OR(G86="",J86="",J86=0),"",G86/J86-1)</f>
        <v/>
      </c>
      <c r="O86" s="24" t="str">
        <f aca="false">IF(N86="","",ABS(N86))</f>
        <v/>
      </c>
    </row>
    <row r="87" customFormat="false" ht="15" hidden="false" customHeight="false" outlineLevel="0" collapsed="false">
      <c r="A87" s="43"/>
      <c r="B87" s="30"/>
      <c r="C87" s="30"/>
      <c r="D87" s="27"/>
      <c r="E87" s="41"/>
      <c r="F87" s="41"/>
      <c r="G87" s="41"/>
      <c r="H87" s="41"/>
      <c r="I87" s="41"/>
      <c r="J87" s="41"/>
      <c r="K87" s="30"/>
      <c r="L87" s="48" t="str">
        <f aca="false">IF(OR(F87="",I87=""),"",IF(F87&gt;=I87,"Yes","No"))</f>
        <v/>
      </c>
      <c r="M87" s="24" t="str">
        <f aca="false">IF(OR(F87="",I87="",I87=0),"",F87/I87-1)</f>
        <v/>
      </c>
      <c r="N87" s="24" t="str">
        <f aca="false">IF(OR(G87="",J87="",J87=0),"",G87/J87-1)</f>
        <v/>
      </c>
      <c r="O87" s="24" t="str">
        <f aca="false">IF(N87="","",ABS(N87))</f>
        <v/>
      </c>
    </row>
    <row r="88" customFormat="false" ht="15" hidden="false" customHeight="false" outlineLevel="0" collapsed="false">
      <c r="A88" s="43"/>
      <c r="B88" s="30"/>
      <c r="C88" s="30"/>
      <c r="D88" s="27"/>
      <c r="E88" s="41"/>
      <c r="F88" s="41"/>
      <c r="G88" s="41"/>
      <c r="H88" s="41"/>
      <c r="I88" s="41"/>
      <c r="J88" s="41"/>
      <c r="K88" s="30"/>
      <c r="L88" s="48" t="str">
        <f aca="false">IF(OR(F88="",I88=""),"",IF(F88&gt;=I88,"Yes","No"))</f>
        <v/>
      </c>
      <c r="M88" s="24" t="str">
        <f aca="false">IF(OR(F88="",I88="",I88=0),"",F88/I88-1)</f>
        <v/>
      </c>
      <c r="N88" s="24" t="str">
        <f aca="false">IF(OR(G88="",J88="",J88=0),"",G88/J88-1)</f>
        <v/>
      </c>
      <c r="O88" s="24" t="str">
        <f aca="false">IF(N88="","",ABS(N88))</f>
        <v/>
      </c>
    </row>
    <row r="89" customFormat="false" ht="15" hidden="false" customHeight="false" outlineLevel="0" collapsed="false">
      <c r="A89" s="43"/>
      <c r="B89" s="30"/>
      <c r="C89" s="30"/>
      <c r="D89" s="27"/>
      <c r="E89" s="41"/>
      <c r="F89" s="41"/>
      <c r="G89" s="41"/>
      <c r="H89" s="41"/>
      <c r="I89" s="41"/>
      <c r="J89" s="41"/>
      <c r="K89" s="30"/>
      <c r="L89" s="48" t="str">
        <f aca="false">IF(OR(F89="",I89=""),"",IF(F89&gt;=I89,"Yes","No"))</f>
        <v/>
      </c>
      <c r="M89" s="24" t="str">
        <f aca="false">IF(OR(F89="",I89="",I89=0),"",F89/I89-1)</f>
        <v/>
      </c>
      <c r="N89" s="24" t="str">
        <f aca="false">IF(OR(G89="",J89="",J89=0),"",G89/J89-1)</f>
        <v/>
      </c>
      <c r="O89" s="24" t="str">
        <f aca="false">IF(N89="","",ABS(N89))</f>
        <v/>
      </c>
    </row>
    <row r="90" customFormat="false" ht="15" hidden="false" customHeight="false" outlineLevel="0" collapsed="false">
      <c r="A90" s="43"/>
      <c r="B90" s="30"/>
      <c r="C90" s="30"/>
      <c r="D90" s="27"/>
      <c r="E90" s="41"/>
      <c r="F90" s="41"/>
      <c r="G90" s="41"/>
      <c r="H90" s="41"/>
      <c r="I90" s="41"/>
      <c r="J90" s="41"/>
      <c r="K90" s="30"/>
      <c r="L90" s="48" t="str">
        <f aca="false">IF(OR(F90="",I90=""),"",IF(F90&gt;=I90,"Yes","No"))</f>
        <v/>
      </c>
      <c r="M90" s="24" t="str">
        <f aca="false">IF(OR(F90="",I90="",I90=0),"",F90/I90-1)</f>
        <v/>
      </c>
      <c r="N90" s="24" t="str">
        <f aca="false">IF(OR(G90="",J90="",J90=0),"",G90/J90-1)</f>
        <v/>
      </c>
      <c r="O90" s="24" t="str">
        <f aca="false">IF(N90="","",ABS(N90))</f>
        <v/>
      </c>
    </row>
    <row r="91" customFormat="false" ht="15" hidden="false" customHeight="false" outlineLevel="0" collapsed="false">
      <c r="A91" s="43"/>
      <c r="B91" s="30"/>
      <c r="C91" s="30"/>
      <c r="D91" s="27"/>
      <c r="E91" s="41"/>
      <c r="F91" s="41"/>
      <c r="G91" s="41"/>
      <c r="H91" s="41"/>
      <c r="I91" s="41"/>
      <c r="J91" s="41"/>
      <c r="K91" s="30"/>
      <c r="L91" s="48" t="str">
        <f aca="false">IF(OR(F91="",I91=""),"",IF(F91&gt;=I91,"Yes","No"))</f>
        <v/>
      </c>
      <c r="M91" s="24" t="str">
        <f aca="false">IF(OR(F91="",I91="",I91=0),"",F91/I91-1)</f>
        <v/>
      </c>
      <c r="N91" s="24" t="str">
        <f aca="false">IF(OR(G91="",J91="",J91=0),"",G91/J91-1)</f>
        <v/>
      </c>
      <c r="O91" s="24" t="str">
        <f aca="false">IF(N91="","",ABS(N91))</f>
        <v/>
      </c>
    </row>
    <row r="92" customFormat="false" ht="15" hidden="false" customHeight="false" outlineLevel="0" collapsed="false">
      <c r="A92" s="43"/>
      <c r="B92" s="30"/>
      <c r="C92" s="30"/>
      <c r="D92" s="27"/>
      <c r="E92" s="41"/>
      <c r="F92" s="41"/>
      <c r="G92" s="41"/>
      <c r="H92" s="41"/>
      <c r="I92" s="41"/>
      <c r="J92" s="41"/>
      <c r="K92" s="30"/>
      <c r="L92" s="48" t="str">
        <f aca="false">IF(OR(F92="",I92=""),"",IF(F92&gt;=I92,"Yes","No"))</f>
        <v/>
      </c>
      <c r="M92" s="24" t="str">
        <f aca="false">IF(OR(F92="",I92="",I92=0),"",F92/I92-1)</f>
        <v/>
      </c>
      <c r="N92" s="24" t="str">
        <f aca="false">IF(OR(G92="",J92="",J92=0),"",G92/J92-1)</f>
        <v/>
      </c>
      <c r="O92" s="24" t="str">
        <f aca="false">IF(N92="","",ABS(N92))</f>
        <v/>
      </c>
    </row>
    <row r="93" customFormat="false" ht="15" hidden="false" customHeight="false" outlineLevel="0" collapsed="false">
      <c r="A93" s="43"/>
      <c r="B93" s="30"/>
      <c r="C93" s="30"/>
      <c r="D93" s="27"/>
      <c r="E93" s="41"/>
      <c r="F93" s="41"/>
      <c r="G93" s="41"/>
      <c r="H93" s="41"/>
      <c r="I93" s="41"/>
      <c r="J93" s="41"/>
      <c r="K93" s="30"/>
      <c r="L93" s="48" t="str">
        <f aca="false">IF(OR(F93="",I93=""),"",IF(F93&gt;=I93,"Yes","No"))</f>
        <v/>
      </c>
      <c r="M93" s="24" t="str">
        <f aca="false">IF(OR(F93="",I93="",I93=0),"",F93/I93-1)</f>
        <v/>
      </c>
      <c r="N93" s="24" t="str">
        <f aca="false">IF(OR(G93="",J93="",J93=0),"",G93/J93-1)</f>
        <v/>
      </c>
      <c r="O93" s="24" t="str">
        <f aca="false">IF(N93="","",ABS(N93))</f>
        <v/>
      </c>
    </row>
    <row r="94" customFormat="false" ht="15" hidden="false" customHeight="false" outlineLevel="0" collapsed="false">
      <c r="A94" s="43"/>
      <c r="B94" s="30"/>
      <c r="C94" s="30"/>
      <c r="D94" s="27"/>
      <c r="E94" s="41"/>
      <c r="F94" s="41"/>
      <c r="G94" s="41"/>
      <c r="H94" s="41"/>
      <c r="I94" s="41"/>
      <c r="J94" s="41"/>
      <c r="K94" s="30"/>
      <c r="L94" s="48" t="str">
        <f aca="false">IF(OR(F94="",I94=""),"",IF(F94&gt;=I94,"Yes","No"))</f>
        <v/>
      </c>
      <c r="M94" s="24" t="str">
        <f aca="false">IF(OR(F94="",I94="",I94=0),"",F94/I94-1)</f>
        <v/>
      </c>
      <c r="N94" s="24" t="str">
        <f aca="false">IF(OR(G94="",J94="",J94=0),"",G94/J94-1)</f>
        <v/>
      </c>
      <c r="O94" s="24" t="str">
        <f aca="false">IF(N94="","",ABS(N94))</f>
        <v/>
      </c>
    </row>
    <row r="95" customFormat="false" ht="15" hidden="false" customHeight="false" outlineLevel="0" collapsed="false">
      <c r="A95" s="43"/>
      <c r="B95" s="30"/>
      <c r="C95" s="30"/>
      <c r="D95" s="27"/>
      <c r="E95" s="41"/>
      <c r="F95" s="41"/>
      <c r="G95" s="41"/>
      <c r="H95" s="41"/>
      <c r="I95" s="41"/>
      <c r="J95" s="41"/>
      <c r="K95" s="30"/>
      <c r="L95" s="48" t="str">
        <f aca="false">IF(OR(F95="",I95=""),"",IF(F95&gt;=I95,"Yes","No"))</f>
        <v/>
      </c>
      <c r="M95" s="24" t="str">
        <f aca="false">IF(OR(F95="",I95="",I95=0),"",F95/I95-1)</f>
        <v/>
      </c>
      <c r="N95" s="24" t="str">
        <f aca="false">IF(OR(G95="",J95="",J95=0),"",G95/J95-1)</f>
        <v/>
      </c>
      <c r="O95" s="24" t="str">
        <f aca="false">IF(N95="","",ABS(N95))</f>
        <v/>
      </c>
    </row>
    <row r="96" customFormat="false" ht="15" hidden="false" customHeight="false" outlineLevel="0" collapsed="false">
      <c r="A96" s="43"/>
      <c r="B96" s="30"/>
      <c r="C96" s="30"/>
      <c r="D96" s="27"/>
      <c r="E96" s="41"/>
      <c r="F96" s="41"/>
      <c r="G96" s="41"/>
      <c r="H96" s="41"/>
      <c r="I96" s="41"/>
      <c r="J96" s="41"/>
      <c r="K96" s="30"/>
      <c r="L96" s="48" t="str">
        <f aca="false">IF(OR(F96="",I96=""),"",IF(F96&gt;=I96,"Yes","No"))</f>
        <v/>
      </c>
      <c r="M96" s="24" t="str">
        <f aca="false">IF(OR(F96="",I96="",I96=0),"",F96/I96-1)</f>
        <v/>
      </c>
      <c r="N96" s="24" t="str">
        <f aca="false">IF(OR(G96="",J96="",J96=0),"",G96/J96-1)</f>
        <v/>
      </c>
      <c r="O96" s="24" t="str">
        <f aca="false">IF(N96="","",ABS(N96))</f>
        <v/>
      </c>
    </row>
    <row r="97" customFormat="false" ht="15" hidden="false" customHeight="false" outlineLevel="0" collapsed="false">
      <c r="A97" s="43"/>
      <c r="B97" s="30"/>
      <c r="C97" s="30"/>
      <c r="D97" s="27"/>
      <c r="E97" s="41"/>
      <c r="F97" s="41"/>
      <c r="G97" s="41"/>
      <c r="H97" s="41"/>
      <c r="I97" s="41"/>
      <c r="J97" s="41"/>
      <c r="K97" s="30"/>
      <c r="L97" s="48" t="str">
        <f aca="false">IF(OR(F97="",I97=""),"",IF(F97&gt;=I97,"Yes","No"))</f>
        <v/>
      </c>
      <c r="M97" s="24" t="str">
        <f aca="false">IF(OR(F97="",I97="",I97=0),"",F97/I97-1)</f>
        <v/>
      </c>
      <c r="N97" s="24" t="str">
        <f aca="false">IF(OR(G97="",J97="",J97=0),"",G97/J97-1)</f>
        <v/>
      </c>
      <c r="O97" s="24" t="str">
        <f aca="false">IF(N97="","",ABS(N97))</f>
        <v/>
      </c>
    </row>
    <row r="98" customFormat="false" ht="15" hidden="false" customHeight="false" outlineLevel="0" collapsed="false">
      <c r="A98" s="43"/>
      <c r="B98" s="30"/>
      <c r="C98" s="30"/>
      <c r="D98" s="27"/>
      <c r="E98" s="41"/>
      <c r="F98" s="41"/>
      <c r="G98" s="41"/>
      <c r="H98" s="41"/>
      <c r="I98" s="41"/>
      <c r="J98" s="41"/>
      <c r="K98" s="30"/>
      <c r="L98" s="48" t="str">
        <f aca="false">IF(OR(F98="",I98=""),"",IF(F98&gt;=I98,"Yes","No"))</f>
        <v/>
      </c>
      <c r="M98" s="24" t="str">
        <f aca="false">IF(OR(F98="",I98="",I98=0),"",F98/I98-1)</f>
        <v/>
      </c>
      <c r="N98" s="24" t="str">
        <f aca="false">IF(OR(G98="",J98="",J98=0),"",G98/J98-1)</f>
        <v/>
      </c>
      <c r="O98" s="24" t="str">
        <f aca="false">IF(N98="","",ABS(N98))</f>
        <v/>
      </c>
    </row>
    <row r="99" customFormat="false" ht="15" hidden="false" customHeight="false" outlineLevel="0" collapsed="false">
      <c r="A99" s="43"/>
      <c r="B99" s="30"/>
      <c r="C99" s="30"/>
      <c r="D99" s="27"/>
      <c r="E99" s="41"/>
      <c r="F99" s="41"/>
      <c r="G99" s="41"/>
      <c r="H99" s="41"/>
      <c r="I99" s="41"/>
      <c r="J99" s="41"/>
      <c r="K99" s="30"/>
      <c r="L99" s="48" t="str">
        <f aca="false">IF(OR(F99="",I99=""),"",IF(F99&gt;=I99,"Yes","No"))</f>
        <v/>
      </c>
      <c r="M99" s="24" t="str">
        <f aca="false">IF(OR(F99="",I99="",I99=0),"",F99/I99-1)</f>
        <v/>
      </c>
      <c r="N99" s="24" t="str">
        <f aca="false">IF(OR(G99="",J99="",J99=0),"",G99/J99-1)</f>
        <v/>
      </c>
      <c r="O99" s="24" t="str">
        <f aca="false">IF(N99="","",ABS(N99))</f>
        <v/>
      </c>
    </row>
    <row r="100" customFormat="false" ht="15" hidden="false" customHeight="false" outlineLevel="0" collapsed="false">
      <c r="A100" s="43"/>
      <c r="B100" s="30"/>
      <c r="C100" s="30"/>
      <c r="D100" s="27"/>
      <c r="E100" s="41"/>
      <c r="F100" s="41"/>
      <c r="G100" s="41"/>
      <c r="H100" s="41"/>
      <c r="I100" s="41"/>
      <c r="J100" s="41"/>
      <c r="K100" s="30"/>
      <c r="L100" s="48" t="str">
        <f aca="false">IF(OR(F100="",I100=""),"",IF(F100&gt;=I100,"Yes","No"))</f>
        <v/>
      </c>
      <c r="M100" s="24" t="str">
        <f aca="false">IF(OR(F100="",I100="",I100=0),"",F100/I100-1)</f>
        <v/>
      </c>
      <c r="N100" s="24" t="str">
        <f aca="false">IF(OR(G100="",J100="",J100=0),"",G100/J100-1)</f>
        <v/>
      </c>
      <c r="O100" s="24" t="str">
        <f aca="false">IF(N100="","",ABS(N100))</f>
        <v/>
      </c>
    </row>
    <row r="101" customFormat="false" ht="15" hidden="false" customHeight="false" outlineLevel="0" collapsed="false">
      <c r="A101" s="43"/>
      <c r="B101" s="30"/>
      <c r="C101" s="30"/>
      <c r="D101" s="27"/>
      <c r="E101" s="41"/>
      <c r="F101" s="41"/>
      <c r="G101" s="41"/>
      <c r="H101" s="41"/>
      <c r="I101" s="41"/>
      <c r="J101" s="41"/>
      <c r="K101" s="30"/>
      <c r="L101" s="48" t="str">
        <f aca="false">IF(OR(F101="",I101=""),"",IF(F101&gt;=I101,"Yes","No"))</f>
        <v/>
      </c>
      <c r="M101" s="24" t="str">
        <f aca="false">IF(OR(F101="",I101="",I101=0),"",F101/I101-1)</f>
        <v/>
      </c>
      <c r="N101" s="24" t="str">
        <f aca="false">IF(OR(G101="",J101="",J101=0),"",G101/J101-1)</f>
        <v/>
      </c>
      <c r="O101" s="24" t="str">
        <f aca="false">IF(N101="","",ABS(N101))</f>
        <v/>
      </c>
    </row>
    <row r="102" customFormat="false" ht="15" hidden="false" customHeight="false" outlineLevel="0" collapsed="false">
      <c r="A102" s="43"/>
      <c r="B102" s="30"/>
      <c r="C102" s="30"/>
      <c r="D102" s="27"/>
      <c r="E102" s="41"/>
      <c r="F102" s="41"/>
      <c r="G102" s="41"/>
      <c r="H102" s="41"/>
      <c r="I102" s="41"/>
      <c r="J102" s="41"/>
      <c r="K102" s="30"/>
      <c r="L102" s="48" t="str">
        <f aca="false">IF(OR(F102="",I102=""),"",IF(F102&gt;=I102,"Yes","No"))</f>
        <v/>
      </c>
      <c r="M102" s="24" t="str">
        <f aca="false">IF(OR(F102="",I102="",I102=0),"",F102/I102-1)</f>
        <v/>
      </c>
      <c r="N102" s="24" t="str">
        <f aca="false">IF(OR(G102="",J102="",J102=0),"",G102/J102-1)</f>
        <v/>
      </c>
      <c r="O102" s="24" t="str">
        <f aca="false">IF(N102="","",ABS(N102))</f>
        <v/>
      </c>
    </row>
    <row r="103" customFormat="false" ht="15" hidden="false" customHeight="false" outlineLevel="0" collapsed="false">
      <c r="A103" s="43"/>
      <c r="B103" s="30"/>
      <c r="C103" s="30"/>
      <c r="D103" s="27"/>
      <c r="E103" s="41"/>
      <c r="F103" s="41"/>
      <c r="G103" s="41"/>
      <c r="H103" s="41"/>
      <c r="I103" s="41"/>
      <c r="J103" s="41"/>
      <c r="K103" s="30"/>
      <c r="L103" s="48" t="str">
        <f aca="false">IF(OR(F103="",I103=""),"",IF(F103&gt;=I103,"Yes","No"))</f>
        <v/>
      </c>
      <c r="M103" s="24" t="str">
        <f aca="false">IF(OR(F103="",I103="",I103=0),"",F103/I103-1)</f>
        <v/>
      </c>
      <c r="N103" s="24" t="str">
        <f aca="false">IF(OR(G103="",J103="",J103=0),"",G103/J103-1)</f>
        <v/>
      </c>
      <c r="O103" s="24" t="str">
        <f aca="false">IF(N103="","",ABS(N103))</f>
        <v/>
      </c>
    </row>
    <row r="104" customFormat="false" ht="15" hidden="false" customHeight="false" outlineLevel="0" collapsed="false">
      <c r="A104" s="43"/>
      <c r="B104" s="30"/>
      <c r="C104" s="30"/>
      <c r="D104" s="27"/>
      <c r="E104" s="41"/>
      <c r="F104" s="41"/>
      <c r="G104" s="41"/>
      <c r="H104" s="41"/>
      <c r="I104" s="41"/>
      <c r="J104" s="41"/>
      <c r="K104" s="30"/>
      <c r="L104" s="48" t="str">
        <f aca="false">IF(OR(F104="",I104=""),"",IF(F104&gt;=I104,"Yes","No"))</f>
        <v/>
      </c>
      <c r="M104" s="24" t="str">
        <f aca="false">IF(OR(F104="",I104="",I104=0),"",F104/I104-1)</f>
        <v/>
      </c>
      <c r="N104" s="24" t="str">
        <f aca="false">IF(OR(G104="",J104="",J104=0),"",G104/J104-1)</f>
        <v/>
      </c>
      <c r="O104" s="24" t="str">
        <f aca="false">IF(N104="","",ABS(N104))</f>
        <v/>
      </c>
    </row>
    <row r="105" customFormat="false" ht="15" hidden="false" customHeight="false" outlineLevel="0" collapsed="false">
      <c r="A105" s="43"/>
      <c r="B105" s="30"/>
      <c r="C105" s="30"/>
      <c r="D105" s="27"/>
      <c r="E105" s="41"/>
      <c r="F105" s="41"/>
      <c r="G105" s="41"/>
      <c r="H105" s="41"/>
      <c r="I105" s="41"/>
      <c r="J105" s="41"/>
      <c r="K105" s="30"/>
      <c r="L105" s="48" t="str">
        <f aca="false">IF(OR(F105="",I105=""),"",IF(F105&gt;=I105,"Yes","No"))</f>
        <v/>
      </c>
      <c r="M105" s="24" t="str">
        <f aca="false">IF(OR(F105="",I105="",I105=0),"",F105/I105-1)</f>
        <v/>
      </c>
      <c r="N105" s="24" t="str">
        <f aca="false">IF(OR(G105="",J105="",J105=0),"",G105/J105-1)</f>
        <v/>
      </c>
      <c r="O105" s="24" t="str">
        <f aca="false">IF(N105="","",ABS(N105))</f>
        <v/>
      </c>
    </row>
    <row r="106" customFormat="false" ht="15" hidden="false" customHeight="false" outlineLevel="0" collapsed="false">
      <c r="A106" s="43"/>
      <c r="B106" s="30"/>
      <c r="C106" s="30"/>
      <c r="D106" s="27"/>
      <c r="E106" s="41"/>
      <c r="F106" s="41"/>
      <c r="G106" s="41"/>
      <c r="H106" s="41"/>
      <c r="I106" s="41"/>
      <c r="J106" s="41"/>
      <c r="K106" s="30"/>
      <c r="L106" s="48" t="str">
        <f aca="false">IF(OR(F106="",I106=""),"",IF(F106&gt;=I106,"Yes","No"))</f>
        <v/>
      </c>
      <c r="M106" s="24" t="str">
        <f aca="false">IF(OR(F106="",I106="",I106=0),"",F106/I106-1)</f>
        <v/>
      </c>
      <c r="N106" s="24" t="str">
        <f aca="false">IF(OR(G106="",J106="",J106=0),"",G106/J106-1)</f>
        <v/>
      </c>
      <c r="O106" s="24" t="str">
        <f aca="false">IF(N106="","",ABS(N106))</f>
        <v/>
      </c>
    </row>
    <row r="107" customFormat="false" ht="15" hidden="false" customHeight="false" outlineLevel="0" collapsed="false">
      <c r="A107" s="43"/>
      <c r="B107" s="30"/>
      <c r="C107" s="30"/>
      <c r="D107" s="27"/>
      <c r="E107" s="41"/>
      <c r="F107" s="41"/>
      <c r="G107" s="41"/>
      <c r="H107" s="41"/>
      <c r="I107" s="41"/>
      <c r="J107" s="41"/>
      <c r="K107" s="30"/>
      <c r="L107" s="48" t="str">
        <f aca="false">IF(OR(F107="",I107=""),"",IF(F107&gt;=I107,"Yes","No"))</f>
        <v/>
      </c>
      <c r="M107" s="24" t="str">
        <f aca="false">IF(OR(F107="",I107="",I107=0),"",F107/I107-1)</f>
        <v/>
      </c>
      <c r="N107" s="24" t="str">
        <f aca="false">IF(OR(G107="",J107="",J107=0),"",G107/J107-1)</f>
        <v/>
      </c>
      <c r="O107" s="24" t="str">
        <f aca="false">IF(N107="","",ABS(N107))</f>
        <v/>
      </c>
    </row>
    <row r="108" customFormat="false" ht="15" hidden="false" customHeight="false" outlineLevel="0" collapsed="false">
      <c r="A108" s="43"/>
      <c r="B108" s="30"/>
      <c r="C108" s="30"/>
      <c r="D108" s="27"/>
      <c r="E108" s="41"/>
      <c r="F108" s="41"/>
      <c r="G108" s="41"/>
      <c r="H108" s="41"/>
      <c r="I108" s="41"/>
      <c r="J108" s="41"/>
      <c r="K108" s="30"/>
      <c r="L108" s="48" t="str">
        <f aca="false">IF(OR(F108="",I108=""),"",IF(F108&gt;=I108,"Yes","No"))</f>
        <v/>
      </c>
      <c r="M108" s="24" t="str">
        <f aca="false">IF(OR(F108="",I108="",I108=0),"",F108/I108-1)</f>
        <v/>
      </c>
      <c r="N108" s="24" t="str">
        <f aca="false">IF(OR(G108="",J108="",J108=0),"",G108/J108-1)</f>
        <v/>
      </c>
      <c r="O108" s="24" t="str">
        <f aca="false">IF(N108="","",ABS(N108))</f>
        <v/>
      </c>
    </row>
    <row r="109" customFormat="false" ht="15" hidden="false" customHeight="false" outlineLevel="0" collapsed="false">
      <c r="A109" s="43"/>
      <c r="B109" s="30"/>
      <c r="C109" s="30"/>
      <c r="D109" s="27"/>
      <c r="E109" s="41"/>
      <c r="F109" s="41"/>
      <c r="G109" s="41"/>
      <c r="H109" s="41"/>
      <c r="I109" s="41"/>
      <c r="J109" s="41"/>
      <c r="K109" s="30"/>
      <c r="L109" s="48" t="str">
        <f aca="false">IF(OR(F109="",I109=""),"",IF(F109&gt;=I109,"Yes","No"))</f>
        <v/>
      </c>
      <c r="M109" s="24" t="str">
        <f aca="false">IF(OR(F109="",I109="",I109=0),"",F109/I109-1)</f>
        <v/>
      </c>
      <c r="N109" s="24" t="str">
        <f aca="false">IF(OR(G109="",J109="",J109=0),"",G109/J109-1)</f>
        <v/>
      </c>
      <c r="O109" s="24" t="str">
        <f aca="false">IF(N109="","",ABS(N109))</f>
        <v/>
      </c>
    </row>
    <row r="110" customFormat="false" ht="15" hidden="false" customHeight="false" outlineLevel="0" collapsed="false">
      <c r="A110" s="43"/>
      <c r="B110" s="30"/>
      <c r="C110" s="30"/>
      <c r="D110" s="27"/>
      <c r="E110" s="41"/>
      <c r="F110" s="41"/>
      <c r="G110" s="41"/>
      <c r="H110" s="41"/>
      <c r="I110" s="41"/>
      <c r="J110" s="41"/>
      <c r="K110" s="30"/>
      <c r="L110" s="48" t="str">
        <f aca="false">IF(OR(F110="",I110=""),"",IF(F110&gt;=I110,"Yes","No"))</f>
        <v/>
      </c>
      <c r="M110" s="24" t="str">
        <f aca="false">IF(OR(F110="",I110="",I110=0),"",F110/I110-1)</f>
        <v/>
      </c>
      <c r="N110" s="24" t="str">
        <f aca="false">IF(OR(G110="",J110="",J110=0),"",G110/J110-1)</f>
        <v/>
      </c>
      <c r="O110" s="24" t="str">
        <f aca="false">IF(N110="","",ABS(N110))</f>
        <v/>
      </c>
    </row>
    <row r="111" customFormat="false" ht="15" hidden="false" customHeight="false" outlineLevel="0" collapsed="false">
      <c r="A111" s="43"/>
      <c r="B111" s="30"/>
      <c r="C111" s="30"/>
      <c r="D111" s="27"/>
      <c r="E111" s="41"/>
      <c r="F111" s="41"/>
      <c r="G111" s="41"/>
      <c r="H111" s="41"/>
      <c r="I111" s="41"/>
      <c r="J111" s="41"/>
      <c r="K111" s="30"/>
      <c r="L111" s="48" t="str">
        <f aca="false">IF(OR(F111="",I111=""),"",IF(F111&gt;=I111,"Yes","No"))</f>
        <v/>
      </c>
      <c r="M111" s="24" t="str">
        <f aca="false">IF(OR(F111="",I111="",I111=0),"",F111/I111-1)</f>
        <v/>
      </c>
      <c r="N111" s="24" t="str">
        <f aca="false">IF(OR(G111="",J111="",J111=0),"",G111/J111-1)</f>
        <v/>
      </c>
      <c r="O111" s="24" t="str">
        <f aca="false">IF(N111="","",ABS(N111))</f>
        <v/>
      </c>
    </row>
    <row r="112" customFormat="false" ht="15" hidden="false" customHeight="false" outlineLevel="0" collapsed="false">
      <c r="A112" s="43"/>
      <c r="B112" s="30"/>
      <c r="C112" s="30"/>
      <c r="D112" s="27"/>
      <c r="E112" s="41"/>
      <c r="F112" s="41"/>
      <c r="G112" s="41"/>
      <c r="H112" s="41"/>
      <c r="I112" s="41"/>
      <c r="J112" s="41"/>
      <c r="K112" s="30"/>
      <c r="L112" s="48" t="str">
        <f aca="false">IF(OR(F112="",I112=""),"",IF(F112&gt;=I112,"Yes","No"))</f>
        <v/>
      </c>
      <c r="M112" s="24" t="str">
        <f aca="false">IF(OR(F112="",I112="",I112=0),"",F112/I112-1)</f>
        <v/>
      </c>
      <c r="N112" s="24" t="str">
        <f aca="false">IF(OR(G112="",J112="",J112=0),"",G112/J112-1)</f>
        <v/>
      </c>
      <c r="O112" s="24" t="str">
        <f aca="false">IF(N112="","",ABS(N112))</f>
        <v/>
      </c>
    </row>
    <row r="113" customFormat="false" ht="15" hidden="false" customHeight="false" outlineLevel="0" collapsed="false">
      <c r="A113" s="43"/>
      <c r="B113" s="30"/>
      <c r="C113" s="30"/>
      <c r="D113" s="27"/>
      <c r="E113" s="41"/>
      <c r="F113" s="41"/>
      <c r="G113" s="41"/>
      <c r="H113" s="41"/>
      <c r="I113" s="41"/>
      <c r="J113" s="41"/>
      <c r="K113" s="30"/>
      <c r="L113" s="48" t="str">
        <f aca="false">IF(OR(F113="",I113=""),"",IF(F113&gt;=I113,"Yes","No"))</f>
        <v/>
      </c>
      <c r="M113" s="24" t="str">
        <f aca="false">IF(OR(F113="",I113="",I113=0),"",F113/I113-1)</f>
        <v/>
      </c>
      <c r="N113" s="24" t="str">
        <f aca="false">IF(OR(G113="",J113="",J113=0),"",G113/J113-1)</f>
        <v/>
      </c>
      <c r="O113" s="24" t="str">
        <f aca="false">IF(N113="","",ABS(N113))</f>
        <v/>
      </c>
    </row>
    <row r="114" customFormat="false" ht="15" hidden="false" customHeight="false" outlineLevel="0" collapsed="false">
      <c r="A114" s="43"/>
      <c r="B114" s="30"/>
      <c r="C114" s="30"/>
      <c r="D114" s="27"/>
      <c r="E114" s="41"/>
      <c r="F114" s="41"/>
      <c r="G114" s="41"/>
      <c r="H114" s="41"/>
      <c r="I114" s="41"/>
      <c r="J114" s="41"/>
      <c r="K114" s="30"/>
      <c r="L114" s="48" t="str">
        <f aca="false">IF(OR(F114="",I114=""),"",IF(F114&gt;=I114,"Yes","No"))</f>
        <v/>
      </c>
      <c r="M114" s="24" t="str">
        <f aca="false">IF(OR(F114="",I114="",I114=0),"",F114/I114-1)</f>
        <v/>
      </c>
      <c r="N114" s="24" t="str">
        <f aca="false">IF(OR(G114="",J114="",J114=0),"",G114/J114-1)</f>
        <v/>
      </c>
      <c r="O114" s="24" t="str">
        <f aca="false">IF(N114="","",ABS(N114))</f>
        <v/>
      </c>
    </row>
    <row r="115" customFormat="false" ht="15" hidden="false" customHeight="false" outlineLevel="0" collapsed="false">
      <c r="A115" s="43"/>
      <c r="B115" s="30"/>
      <c r="C115" s="30"/>
      <c r="D115" s="27"/>
      <c r="E115" s="41"/>
      <c r="F115" s="41"/>
      <c r="G115" s="41"/>
      <c r="H115" s="41"/>
      <c r="I115" s="41"/>
      <c r="J115" s="41"/>
      <c r="K115" s="30"/>
      <c r="L115" s="48" t="str">
        <f aca="false">IF(OR(F115="",I115=""),"",IF(F115&gt;=I115,"Yes","No"))</f>
        <v/>
      </c>
      <c r="M115" s="24" t="str">
        <f aca="false">IF(OR(F115="",I115="",I115=0),"",F115/I115-1)</f>
        <v/>
      </c>
      <c r="N115" s="24" t="str">
        <f aca="false">IF(OR(G115="",J115="",J115=0),"",G115/J115-1)</f>
        <v/>
      </c>
      <c r="O115" s="24" t="str">
        <f aca="false">IF(N115="","",ABS(N115))</f>
        <v/>
      </c>
    </row>
    <row r="116" customFormat="false" ht="15" hidden="false" customHeight="false" outlineLevel="0" collapsed="false">
      <c r="A116" s="43"/>
      <c r="B116" s="30"/>
      <c r="C116" s="30"/>
      <c r="D116" s="27"/>
      <c r="E116" s="41"/>
      <c r="F116" s="41"/>
      <c r="G116" s="41"/>
      <c r="H116" s="41"/>
      <c r="I116" s="41"/>
      <c r="J116" s="41"/>
      <c r="K116" s="30"/>
      <c r="L116" s="48" t="str">
        <f aca="false">IF(OR(F116="",I116=""),"",IF(F116&gt;=I116,"Yes","No"))</f>
        <v/>
      </c>
      <c r="M116" s="24" t="str">
        <f aca="false">IF(OR(F116="",I116="",I116=0),"",F116/I116-1)</f>
        <v/>
      </c>
      <c r="N116" s="24" t="str">
        <f aca="false">IF(OR(G116="",J116="",J116=0),"",G116/J116-1)</f>
        <v/>
      </c>
      <c r="O116" s="24" t="str">
        <f aca="false">IF(N116="","",ABS(N116))</f>
        <v/>
      </c>
    </row>
    <row r="117" customFormat="false" ht="15" hidden="false" customHeight="false" outlineLevel="0" collapsed="false">
      <c r="A117" s="43"/>
      <c r="B117" s="30"/>
      <c r="C117" s="30"/>
      <c r="D117" s="27"/>
      <c r="E117" s="41"/>
      <c r="F117" s="41"/>
      <c r="G117" s="41"/>
      <c r="H117" s="41"/>
      <c r="I117" s="41"/>
      <c r="J117" s="41"/>
      <c r="K117" s="30"/>
      <c r="L117" s="48" t="str">
        <f aca="false">IF(OR(F117="",I117=""),"",IF(F117&gt;=I117,"Yes","No"))</f>
        <v/>
      </c>
      <c r="M117" s="24" t="str">
        <f aca="false">IF(OR(F117="",I117="",I117=0),"",F117/I117-1)</f>
        <v/>
      </c>
      <c r="N117" s="24" t="str">
        <f aca="false">IF(OR(G117="",J117="",J117=0),"",G117/J117-1)</f>
        <v/>
      </c>
      <c r="O117" s="24" t="str">
        <f aca="false">IF(N117="","",ABS(N117))</f>
        <v/>
      </c>
    </row>
    <row r="118" customFormat="false" ht="15" hidden="false" customHeight="false" outlineLevel="0" collapsed="false">
      <c r="A118" s="43"/>
      <c r="B118" s="30"/>
      <c r="C118" s="30"/>
      <c r="D118" s="27"/>
      <c r="E118" s="41"/>
      <c r="F118" s="41"/>
      <c r="G118" s="41"/>
      <c r="H118" s="41"/>
      <c r="I118" s="41"/>
      <c r="J118" s="41"/>
      <c r="K118" s="30"/>
      <c r="L118" s="48" t="str">
        <f aca="false">IF(OR(F118="",I118=""),"",IF(F118&gt;=I118,"Yes","No"))</f>
        <v/>
      </c>
      <c r="M118" s="24" t="str">
        <f aca="false">IF(OR(F118="",I118="",I118=0),"",F118/I118-1)</f>
        <v/>
      </c>
      <c r="N118" s="24" t="str">
        <f aca="false">IF(OR(G118="",J118="",J118=0),"",G118/J118-1)</f>
        <v/>
      </c>
      <c r="O118" s="24" t="str">
        <f aca="false">IF(N118="","",ABS(N118))</f>
        <v/>
      </c>
    </row>
    <row r="119" customFormat="false" ht="15" hidden="false" customHeight="false" outlineLevel="0" collapsed="false">
      <c r="A119" s="43"/>
      <c r="B119" s="30"/>
      <c r="C119" s="30"/>
      <c r="D119" s="27"/>
      <c r="E119" s="41"/>
      <c r="F119" s="41"/>
      <c r="G119" s="41"/>
      <c r="H119" s="41"/>
      <c r="I119" s="41"/>
      <c r="J119" s="41"/>
      <c r="K119" s="30"/>
      <c r="L119" s="48" t="str">
        <f aca="false">IF(OR(F119="",I119=""),"",IF(F119&gt;=I119,"Yes","No"))</f>
        <v/>
      </c>
      <c r="M119" s="24" t="str">
        <f aca="false">IF(OR(F119="",I119="",I119=0),"",F119/I119-1)</f>
        <v/>
      </c>
      <c r="N119" s="24" t="str">
        <f aca="false">IF(OR(G119="",J119="",J119=0),"",G119/J119-1)</f>
        <v/>
      </c>
      <c r="O119" s="24" t="str">
        <f aca="false">IF(N119="","",ABS(N119))</f>
        <v/>
      </c>
    </row>
    <row r="120" customFormat="false" ht="15" hidden="false" customHeight="false" outlineLevel="0" collapsed="false">
      <c r="A120" s="43"/>
      <c r="B120" s="30"/>
      <c r="C120" s="30"/>
      <c r="D120" s="27"/>
      <c r="E120" s="41"/>
      <c r="F120" s="41"/>
      <c r="G120" s="41"/>
      <c r="H120" s="41"/>
      <c r="I120" s="41"/>
      <c r="J120" s="41"/>
      <c r="K120" s="30"/>
      <c r="L120" s="48" t="str">
        <f aca="false">IF(OR(F120="",I120=""),"",IF(F120&gt;=I120,"Yes","No"))</f>
        <v/>
      </c>
      <c r="M120" s="24" t="str">
        <f aca="false">IF(OR(F120="",I120="",I120=0),"",F120/I120-1)</f>
        <v/>
      </c>
      <c r="N120" s="24" t="str">
        <f aca="false">IF(OR(G120="",J120="",J120=0),"",G120/J120-1)</f>
        <v/>
      </c>
      <c r="O120" s="24" t="str">
        <f aca="false">IF(N120="","",ABS(N120))</f>
        <v/>
      </c>
    </row>
    <row r="121" customFormat="false" ht="15" hidden="false" customHeight="false" outlineLevel="0" collapsed="false">
      <c r="A121" s="43"/>
      <c r="B121" s="30"/>
      <c r="C121" s="30"/>
      <c r="D121" s="27"/>
      <c r="E121" s="41"/>
      <c r="F121" s="41"/>
      <c r="G121" s="41"/>
      <c r="H121" s="41"/>
      <c r="I121" s="41"/>
      <c r="J121" s="41"/>
      <c r="K121" s="30"/>
      <c r="L121" s="48" t="str">
        <f aca="false">IF(OR(F121="",I121=""),"",IF(F121&gt;=I121,"Yes","No"))</f>
        <v/>
      </c>
      <c r="M121" s="24" t="str">
        <f aca="false">IF(OR(F121="",I121="",I121=0),"",F121/I121-1)</f>
        <v/>
      </c>
      <c r="N121" s="24" t="str">
        <f aca="false">IF(OR(G121="",J121="",J121=0),"",G121/J121-1)</f>
        <v/>
      </c>
      <c r="O121" s="24" t="str">
        <f aca="false">IF(N121="","",ABS(N121))</f>
        <v/>
      </c>
    </row>
    <row r="122" customFormat="false" ht="15" hidden="false" customHeight="false" outlineLevel="0" collapsed="false">
      <c r="A122" s="43"/>
      <c r="B122" s="30"/>
      <c r="C122" s="30"/>
      <c r="D122" s="27"/>
      <c r="E122" s="41"/>
      <c r="F122" s="41"/>
      <c r="G122" s="41"/>
      <c r="H122" s="41"/>
      <c r="I122" s="41"/>
      <c r="J122" s="41"/>
      <c r="K122" s="30"/>
      <c r="L122" s="48" t="str">
        <f aca="false">IF(OR(F122="",I122=""),"",IF(F122&gt;=I122,"Yes","No"))</f>
        <v/>
      </c>
      <c r="M122" s="24" t="str">
        <f aca="false">IF(OR(F122="",I122="",I122=0),"",F122/I122-1)</f>
        <v/>
      </c>
      <c r="N122" s="24" t="str">
        <f aca="false">IF(OR(G122="",J122="",J122=0),"",G122/J122-1)</f>
        <v/>
      </c>
      <c r="O122" s="24" t="str">
        <f aca="false">IF(N122="","",ABS(N122))</f>
        <v/>
      </c>
    </row>
    <row r="123" customFormat="false" ht="15" hidden="false" customHeight="false" outlineLevel="0" collapsed="false">
      <c r="A123" s="43"/>
      <c r="B123" s="30"/>
      <c r="C123" s="30"/>
      <c r="D123" s="27"/>
      <c r="E123" s="41"/>
      <c r="F123" s="41"/>
      <c r="G123" s="41"/>
      <c r="H123" s="41"/>
      <c r="I123" s="41"/>
      <c r="J123" s="41"/>
      <c r="K123" s="30"/>
      <c r="L123" s="48" t="str">
        <f aca="false">IF(OR(F123="",I123=""),"",IF(F123&gt;=I123,"Yes","No"))</f>
        <v/>
      </c>
      <c r="M123" s="24" t="str">
        <f aca="false">IF(OR(F123="",I123="",I123=0),"",F123/I123-1)</f>
        <v/>
      </c>
      <c r="N123" s="24" t="str">
        <f aca="false">IF(OR(G123="",J123="",J123=0),"",G123/J123-1)</f>
        <v/>
      </c>
      <c r="O123" s="24" t="str">
        <f aca="false">IF(N123="","",ABS(N123))</f>
        <v/>
      </c>
    </row>
    <row r="124" customFormat="false" ht="15" hidden="false" customHeight="false" outlineLevel="0" collapsed="false">
      <c r="A124" s="43"/>
      <c r="B124" s="30"/>
      <c r="C124" s="30"/>
      <c r="D124" s="27"/>
      <c r="E124" s="41"/>
      <c r="F124" s="41"/>
      <c r="G124" s="41"/>
      <c r="H124" s="41"/>
      <c r="I124" s="41"/>
      <c r="J124" s="41"/>
      <c r="K124" s="30"/>
      <c r="L124" s="48" t="str">
        <f aca="false">IF(OR(F124="",I124=""),"",IF(F124&gt;=I124,"Yes","No"))</f>
        <v/>
      </c>
      <c r="M124" s="24" t="str">
        <f aca="false">IF(OR(F124="",I124="",I124=0),"",F124/I124-1)</f>
        <v/>
      </c>
      <c r="N124" s="24" t="str">
        <f aca="false">IF(OR(G124="",J124="",J124=0),"",G124/J124-1)</f>
        <v/>
      </c>
      <c r="O124" s="24" t="str">
        <f aca="false">IF(N124="","",ABS(N124))</f>
        <v/>
      </c>
    </row>
    <row r="125" customFormat="false" ht="15" hidden="false" customHeight="false" outlineLevel="0" collapsed="false">
      <c r="A125" s="43"/>
      <c r="B125" s="30"/>
      <c r="C125" s="30"/>
      <c r="D125" s="27"/>
      <c r="E125" s="41"/>
      <c r="F125" s="41"/>
      <c r="G125" s="41"/>
      <c r="H125" s="41"/>
      <c r="I125" s="41"/>
      <c r="J125" s="41"/>
      <c r="K125" s="30"/>
      <c r="L125" s="48" t="str">
        <f aca="false">IF(OR(F125="",I125=""),"",IF(F125&gt;=I125,"Yes","No"))</f>
        <v/>
      </c>
      <c r="M125" s="24" t="str">
        <f aca="false">IF(OR(F125="",I125="",I125=0),"",F125/I125-1)</f>
        <v/>
      </c>
      <c r="N125" s="24" t="str">
        <f aca="false">IF(OR(G125="",J125="",J125=0),"",G125/J125-1)</f>
        <v/>
      </c>
      <c r="O125" s="24" t="str">
        <f aca="false">IF(N125="","",ABS(N125))</f>
        <v/>
      </c>
    </row>
    <row r="126" customFormat="false" ht="15" hidden="false" customHeight="false" outlineLevel="0" collapsed="false">
      <c r="A126" s="43"/>
      <c r="B126" s="30"/>
      <c r="C126" s="30"/>
      <c r="D126" s="27"/>
      <c r="E126" s="41"/>
      <c r="F126" s="41"/>
      <c r="G126" s="41"/>
      <c r="H126" s="41"/>
      <c r="I126" s="41"/>
      <c r="J126" s="41"/>
      <c r="K126" s="30"/>
      <c r="L126" s="48" t="str">
        <f aca="false">IF(OR(F126="",I126=""),"",IF(F126&gt;=I126,"Yes","No"))</f>
        <v/>
      </c>
      <c r="M126" s="24" t="str">
        <f aca="false">IF(OR(F126="",I126="",I126=0),"",F126/I126-1)</f>
        <v/>
      </c>
      <c r="N126" s="24" t="str">
        <f aca="false">IF(OR(G126="",J126="",J126=0),"",G126/J126-1)</f>
        <v/>
      </c>
      <c r="O126" s="24" t="str">
        <f aca="false">IF(N126="","",ABS(N126))</f>
        <v/>
      </c>
    </row>
    <row r="127" customFormat="false" ht="15" hidden="false" customHeight="false" outlineLevel="0" collapsed="false">
      <c r="A127" s="43"/>
      <c r="B127" s="30"/>
      <c r="C127" s="30"/>
      <c r="D127" s="27"/>
      <c r="E127" s="41"/>
      <c r="F127" s="41"/>
      <c r="G127" s="41"/>
      <c r="H127" s="41"/>
      <c r="I127" s="41"/>
      <c r="J127" s="41"/>
      <c r="K127" s="30"/>
      <c r="L127" s="48" t="str">
        <f aca="false">IF(OR(F127="",I127=""),"",IF(F127&gt;=I127,"Yes","No"))</f>
        <v/>
      </c>
      <c r="M127" s="24" t="str">
        <f aca="false">IF(OR(F127="",I127="",I127=0),"",F127/I127-1)</f>
        <v/>
      </c>
      <c r="N127" s="24" t="str">
        <f aca="false">IF(OR(G127="",J127="",J127=0),"",G127/J127-1)</f>
        <v/>
      </c>
      <c r="O127" s="24" t="str">
        <f aca="false">IF(N127="","",ABS(N127))</f>
        <v/>
      </c>
    </row>
    <row r="128" customFormat="false" ht="15" hidden="false" customHeight="false" outlineLevel="0" collapsed="false">
      <c r="A128" s="43"/>
      <c r="B128" s="30"/>
      <c r="C128" s="30"/>
      <c r="D128" s="27"/>
      <c r="E128" s="41"/>
      <c r="F128" s="41"/>
      <c r="G128" s="41"/>
      <c r="H128" s="41"/>
      <c r="I128" s="41"/>
      <c r="J128" s="41"/>
      <c r="K128" s="30"/>
      <c r="L128" s="48" t="str">
        <f aca="false">IF(OR(F128="",I128=""),"",IF(F128&gt;=I128,"Yes","No"))</f>
        <v/>
      </c>
      <c r="M128" s="24" t="str">
        <f aca="false">IF(OR(F128="",I128="",I128=0),"",F128/I128-1)</f>
        <v/>
      </c>
      <c r="N128" s="24" t="str">
        <f aca="false">IF(OR(G128="",J128="",J128=0),"",G128/J128-1)</f>
        <v/>
      </c>
      <c r="O128" s="24" t="str">
        <f aca="false">IF(N128="","",ABS(N128))</f>
        <v/>
      </c>
    </row>
    <row r="129" customFormat="false" ht="15" hidden="false" customHeight="false" outlineLevel="0" collapsed="false">
      <c r="A129" s="43"/>
      <c r="B129" s="30"/>
      <c r="C129" s="30"/>
      <c r="D129" s="27"/>
      <c r="E129" s="41"/>
      <c r="F129" s="41"/>
      <c r="G129" s="41"/>
      <c r="H129" s="41"/>
      <c r="I129" s="41"/>
      <c r="J129" s="41"/>
      <c r="K129" s="30"/>
      <c r="L129" s="48" t="str">
        <f aca="false">IF(OR(F129="",I129=""),"",IF(F129&gt;=I129,"Yes","No"))</f>
        <v/>
      </c>
      <c r="M129" s="24" t="str">
        <f aca="false">IF(OR(F129="",I129="",I129=0),"",F129/I129-1)</f>
        <v/>
      </c>
      <c r="N129" s="24" t="str">
        <f aca="false">IF(OR(G129="",J129="",J129=0),"",G129/J129-1)</f>
        <v/>
      </c>
      <c r="O129" s="24" t="str">
        <f aca="false">IF(N129="","",ABS(N129))</f>
        <v/>
      </c>
    </row>
    <row r="130" customFormat="false" ht="15" hidden="false" customHeight="false" outlineLevel="0" collapsed="false">
      <c r="A130" s="43"/>
      <c r="B130" s="30"/>
      <c r="C130" s="30"/>
      <c r="D130" s="27"/>
      <c r="E130" s="41"/>
      <c r="F130" s="41"/>
      <c r="G130" s="41"/>
      <c r="H130" s="41"/>
      <c r="I130" s="41"/>
      <c r="J130" s="41"/>
      <c r="K130" s="30"/>
      <c r="L130" s="48" t="str">
        <f aca="false">IF(OR(F130="",I130=""),"",IF(F130&gt;=I130,"Yes","No"))</f>
        <v/>
      </c>
      <c r="M130" s="24" t="str">
        <f aca="false">IF(OR(F130="",I130="",I130=0),"",F130/I130-1)</f>
        <v/>
      </c>
      <c r="N130" s="24" t="str">
        <f aca="false">IF(OR(G130="",J130="",J130=0),"",G130/J130-1)</f>
        <v/>
      </c>
      <c r="O130" s="24" t="str">
        <f aca="false">IF(N130="","",ABS(N130))</f>
        <v/>
      </c>
    </row>
    <row r="131" customFormat="false" ht="15" hidden="false" customHeight="false" outlineLevel="0" collapsed="false">
      <c r="A131" s="43"/>
      <c r="B131" s="30"/>
      <c r="C131" s="30"/>
      <c r="D131" s="27"/>
      <c r="E131" s="41"/>
      <c r="F131" s="41"/>
      <c r="G131" s="41"/>
      <c r="H131" s="41"/>
      <c r="I131" s="41"/>
      <c r="J131" s="41"/>
      <c r="K131" s="30"/>
      <c r="L131" s="48" t="str">
        <f aca="false">IF(OR(F131="",I131=""),"",IF(F131&gt;=I131,"Yes","No"))</f>
        <v/>
      </c>
      <c r="M131" s="24" t="str">
        <f aca="false">IF(OR(F131="",I131="",I131=0),"",F131/I131-1)</f>
        <v/>
      </c>
      <c r="N131" s="24" t="str">
        <f aca="false">IF(OR(G131="",J131="",J131=0),"",G131/J131-1)</f>
        <v/>
      </c>
      <c r="O131" s="24" t="str">
        <f aca="false">IF(N131="","",ABS(N131))</f>
        <v/>
      </c>
    </row>
    <row r="132" customFormat="false" ht="15" hidden="false" customHeight="false" outlineLevel="0" collapsed="false">
      <c r="A132" s="43"/>
      <c r="B132" s="30"/>
      <c r="C132" s="30"/>
      <c r="D132" s="27"/>
      <c r="E132" s="41"/>
      <c r="F132" s="41"/>
      <c r="G132" s="41"/>
      <c r="H132" s="41"/>
      <c r="I132" s="41"/>
      <c r="J132" s="41"/>
      <c r="K132" s="30"/>
      <c r="L132" s="48" t="str">
        <f aca="false">IF(OR(F132="",I132=""),"",IF(F132&gt;=I132,"Yes","No"))</f>
        <v/>
      </c>
      <c r="M132" s="24" t="str">
        <f aca="false">IF(OR(F132="",I132="",I132=0),"",F132/I132-1)</f>
        <v/>
      </c>
      <c r="N132" s="24" t="str">
        <f aca="false">IF(OR(G132="",J132="",J132=0),"",G132/J132-1)</f>
        <v/>
      </c>
      <c r="O132" s="24" t="str">
        <f aca="false">IF(N132="","",ABS(N132))</f>
        <v/>
      </c>
    </row>
    <row r="133" customFormat="false" ht="15" hidden="false" customHeight="false" outlineLevel="0" collapsed="false">
      <c r="A133" s="43"/>
      <c r="B133" s="30"/>
      <c r="C133" s="30"/>
      <c r="D133" s="27"/>
      <c r="E133" s="41"/>
      <c r="F133" s="41"/>
      <c r="G133" s="41"/>
      <c r="H133" s="41"/>
      <c r="I133" s="41"/>
      <c r="J133" s="41"/>
      <c r="K133" s="30"/>
      <c r="L133" s="48" t="str">
        <f aca="false">IF(OR(F133="",I133=""),"",IF(F133&gt;=I133,"Yes","No"))</f>
        <v/>
      </c>
      <c r="M133" s="24" t="str">
        <f aca="false">IF(OR(F133="",I133="",I133=0),"",F133/I133-1)</f>
        <v/>
      </c>
      <c r="N133" s="24" t="str">
        <f aca="false">IF(OR(G133="",J133="",J133=0),"",G133/J133-1)</f>
        <v/>
      </c>
      <c r="O133" s="24" t="str">
        <f aca="false">IF(N133="","",ABS(N133))</f>
        <v/>
      </c>
    </row>
    <row r="134" customFormat="false" ht="15" hidden="false" customHeight="false" outlineLevel="0" collapsed="false">
      <c r="A134" s="43"/>
      <c r="B134" s="30"/>
      <c r="C134" s="30"/>
      <c r="D134" s="27"/>
      <c r="E134" s="41"/>
      <c r="F134" s="41"/>
      <c r="G134" s="41"/>
      <c r="H134" s="41"/>
      <c r="I134" s="41"/>
      <c r="J134" s="41"/>
      <c r="K134" s="30"/>
      <c r="L134" s="48" t="str">
        <f aca="false">IF(OR(F134="",I134=""),"",IF(F134&gt;=I134,"Yes","No"))</f>
        <v/>
      </c>
      <c r="M134" s="24" t="str">
        <f aca="false">IF(OR(F134="",I134="",I134=0),"",F134/I134-1)</f>
        <v/>
      </c>
      <c r="N134" s="24" t="str">
        <f aca="false">IF(OR(G134="",J134="",J134=0),"",G134/J134-1)</f>
        <v/>
      </c>
      <c r="O134" s="24" t="str">
        <f aca="false">IF(N134="","",ABS(N134))</f>
        <v/>
      </c>
    </row>
    <row r="135" customFormat="false" ht="15" hidden="false" customHeight="false" outlineLevel="0" collapsed="false">
      <c r="A135" s="43"/>
      <c r="B135" s="30"/>
      <c r="C135" s="30"/>
      <c r="D135" s="27"/>
      <c r="E135" s="41"/>
      <c r="F135" s="41"/>
      <c r="G135" s="41"/>
      <c r="H135" s="41"/>
      <c r="I135" s="41"/>
      <c r="J135" s="41"/>
      <c r="K135" s="30"/>
      <c r="L135" s="48" t="str">
        <f aca="false">IF(OR(F135="",I135=""),"",IF(F135&gt;=I135,"Yes","No"))</f>
        <v/>
      </c>
      <c r="M135" s="24" t="str">
        <f aca="false">IF(OR(F135="",I135="",I135=0),"",F135/I135-1)</f>
        <v/>
      </c>
      <c r="N135" s="24" t="str">
        <f aca="false">IF(OR(G135="",J135="",J135=0),"",G135/J135-1)</f>
        <v/>
      </c>
      <c r="O135" s="24" t="str">
        <f aca="false">IF(N135="","",ABS(N135))</f>
        <v/>
      </c>
    </row>
    <row r="136" customFormat="false" ht="15" hidden="false" customHeight="false" outlineLevel="0" collapsed="false">
      <c r="A136" s="43"/>
      <c r="B136" s="30"/>
      <c r="C136" s="30"/>
      <c r="D136" s="27"/>
      <c r="E136" s="41"/>
      <c r="F136" s="41"/>
      <c r="G136" s="41"/>
      <c r="H136" s="41"/>
      <c r="I136" s="41"/>
      <c r="J136" s="41"/>
      <c r="K136" s="30"/>
      <c r="L136" s="48" t="str">
        <f aca="false">IF(OR(F136="",I136=""),"",IF(F136&gt;=I136,"Yes","No"))</f>
        <v/>
      </c>
      <c r="M136" s="24" t="str">
        <f aca="false">IF(OR(F136="",I136="",I136=0),"",F136/I136-1)</f>
        <v/>
      </c>
      <c r="N136" s="24" t="str">
        <f aca="false">IF(OR(G136="",J136="",J136=0),"",G136/J136-1)</f>
        <v/>
      </c>
      <c r="O136" s="24" t="str">
        <f aca="false">IF(N136="","",ABS(N136))</f>
        <v/>
      </c>
    </row>
    <row r="137" customFormat="false" ht="15" hidden="false" customHeight="false" outlineLevel="0" collapsed="false">
      <c r="A137" s="43"/>
      <c r="B137" s="30"/>
      <c r="C137" s="30"/>
      <c r="D137" s="27"/>
      <c r="E137" s="41"/>
      <c r="F137" s="41"/>
      <c r="G137" s="41"/>
      <c r="H137" s="41"/>
      <c r="I137" s="41"/>
      <c r="J137" s="41"/>
      <c r="K137" s="30"/>
      <c r="L137" s="48" t="str">
        <f aca="false">IF(OR(F137="",I137=""),"",IF(F137&gt;=I137,"Yes","No"))</f>
        <v/>
      </c>
      <c r="M137" s="24" t="str">
        <f aca="false">IF(OR(F137="",I137="",I137=0),"",F137/I137-1)</f>
        <v/>
      </c>
      <c r="N137" s="24" t="str">
        <f aca="false">IF(OR(G137="",J137="",J137=0),"",G137/J137-1)</f>
        <v/>
      </c>
      <c r="O137" s="24" t="str">
        <f aca="false">IF(N137="","",ABS(N137))</f>
        <v/>
      </c>
    </row>
    <row r="138" customFormat="false" ht="15" hidden="false" customHeight="false" outlineLevel="0" collapsed="false">
      <c r="A138" s="43"/>
      <c r="B138" s="30"/>
      <c r="C138" s="30"/>
      <c r="D138" s="27"/>
      <c r="E138" s="41"/>
      <c r="F138" s="41"/>
      <c r="G138" s="41"/>
      <c r="H138" s="41"/>
      <c r="I138" s="41"/>
      <c r="J138" s="41"/>
      <c r="K138" s="30"/>
      <c r="L138" s="48" t="str">
        <f aca="false">IF(OR(F138="",I138=""),"",IF(F138&gt;=I138,"Yes","No"))</f>
        <v/>
      </c>
      <c r="M138" s="24" t="str">
        <f aca="false">IF(OR(F138="",I138="",I138=0),"",F138/I138-1)</f>
        <v/>
      </c>
      <c r="N138" s="24" t="str">
        <f aca="false">IF(OR(G138="",J138="",J138=0),"",G138/J138-1)</f>
        <v/>
      </c>
      <c r="O138" s="24" t="str">
        <f aca="false">IF(N138="","",ABS(N138))</f>
        <v/>
      </c>
    </row>
    <row r="139" customFormat="false" ht="15" hidden="false" customHeight="false" outlineLevel="0" collapsed="false">
      <c r="A139" s="43"/>
      <c r="B139" s="30"/>
      <c r="C139" s="30"/>
      <c r="D139" s="27"/>
      <c r="E139" s="41"/>
      <c r="F139" s="41"/>
      <c r="G139" s="41"/>
      <c r="H139" s="41"/>
      <c r="I139" s="41"/>
      <c r="J139" s="41"/>
      <c r="K139" s="30"/>
      <c r="L139" s="48" t="str">
        <f aca="false">IF(OR(F139="",I139=""),"",IF(F139&gt;=I139,"Yes","No"))</f>
        <v/>
      </c>
      <c r="M139" s="24" t="str">
        <f aca="false">IF(OR(F139="",I139="",I139=0),"",F139/I139-1)</f>
        <v/>
      </c>
      <c r="N139" s="24" t="str">
        <f aca="false">IF(OR(G139="",J139="",J139=0),"",G139/J139-1)</f>
        <v/>
      </c>
      <c r="O139" s="24" t="str">
        <f aca="false">IF(N139="","",ABS(N139))</f>
        <v/>
      </c>
    </row>
    <row r="140" customFormat="false" ht="15" hidden="false" customHeight="false" outlineLevel="0" collapsed="false">
      <c r="A140" s="43"/>
      <c r="B140" s="30"/>
      <c r="C140" s="30"/>
      <c r="D140" s="27"/>
      <c r="E140" s="41"/>
      <c r="F140" s="41"/>
      <c r="G140" s="41"/>
      <c r="H140" s="41"/>
      <c r="I140" s="41"/>
      <c r="J140" s="41"/>
      <c r="K140" s="30"/>
      <c r="L140" s="48" t="str">
        <f aca="false">IF(OR(F140="",I140=""),"",IF(F140&gt;=I140,"Yes","No"))</f>
        <v/>
      </c>
      <c r="M140" s="24" t="str">
        <f aca="false">IF(OR(F140="",I140="",I140=0),"",F140/I140-1)</f>
        <v/>
      </c>
      <c r="N140" s="24" t="str">
        <f aca="false">IF(OR(G140="",J140="",J140=0),"",G140/J140-1)</f>
        <v/>
      </c>
      <c r="O140" s="24" t="str">
        <f aca="false">IF(N140="","",ABS(N140))</f>
        <v/>
      </c>
    </row>
    <row r="141" customFormat="false" ht="15" hidden="false" customHeight="false" outlineLevel="0" collapsed="false">
      <c r="A141" s="43"/>
      <c r="B141" s="30"/>
      <c r="C141" s="30"/>
      <c r="D141" s="27"/>
      <c r="E141" s="41"/>
      <c r="F141" s="41"/>
      <c r="G141" s="41"/>
      <c r="H141" s="41"/>
      <c r="I141" s="41"/>
      <c r="J141" s="41"/>
      <c r="K141" s="30"/>
      <c r="L141" s="48" t="str">
        <f aca="false">IF(OR(F141="",I141=""),"",IF(F141&gt;=I141,"Yes","No"))</f>
        <v/>
      </c>
      <c r="M141" s="24" t="str">
        <f aca="false">IF(OR(F141="",I141="",I141=0),"",F141/I141-1)</f>
        <v/>
      </c>
      <c r="N141" s="24" t="str">
        <f aca="false">IF(OR(G141="",J141="",J141=0),"",G141/J141-1)</f>
        <v/>
      </c>
      <c r="O141" s="24" t="str">
        <f aca="false">IF(N141="","",ABS(N141))</f>
        <v/>
      </c>
    </row>
    <row r="142" customFormat="false" ht="15" hidden="false" customHeight="false" outlineLevel="0" collapsed="false">
      <c r="A142" s="43"/>
      <c r="B142" s="30"/>
      <c r="C142" s="30"/>
      <c r="D142" s="27"/>
      <c r="E142" s="41"/>
      <c r="F142" s="41"/>
      <c r="G142" s="41"/>
      <c r="H142" s="41"/>
      <c r="I142" s="41"/>
      <c r="J142" s="41"/>
      <c r="K142" s="30"/>
      <c r="L142" s="48" t="str">
        <f aca="false">IF(OR(F142="",I142=""),"",IF(F142&gt;=I142,"Yes","No"))</f>
        <v/>
      </c>
      <c r="M142" s="24" t="str">
        <f aca="false">IF(OR(F142="",I142="",I142=0),"",F142/I142-1)</f>
        <v/>
      </c>
      <c r="N142" s="24" t="str">
        <f aca="false">IF(OR(G142="",J142="",J142=0),"",G142/J142-1)</f>
        <v/>
      </c>
      <c r="O142" s="24" t="str">
        <f aca="false">IF(N142="","",ABS(N142))</f>
        <v/>
      </c>
    </row>
    <row r="143" customFormat="false" ht="15" hidden="false" customHeight="false" outlineLevel="0" collapsed="false">
      <c r="A143" s="43"/>
      <c r="B143" s="30"/>
      <c r="C143" s="30"/>
      <c r="D143" s="27"/>
      <c r="E143" s="41"/>
      <c r="F143" s="41"/>
      <c r="G143" s="41"/>
      <c r="H143" s="41"/>
      <c r="I143" s="41"/>
      <c r="J143" s="41"/>
      <c r="K143" s="30"/>
      <c r="L143" s="48" t="str">
        <f aca="false">IF(OR(F143="",I143=""),"",IF(F143&gt;=I143,"Yes","No"))</f>
        <v/>
      </c>
      <c r="M143" s="24" t="str">
        <f aca="false">IF(OR(F143="",I143="",I143=0),"",F143/I143-1)</f>
        <v/>
      </c>
      <c r="N143" s="24" t="str">
        <f aca="false">IF(OR(G143="",J143="",J143=0),"",G143/J143-1)</f>
        <v/>
      </c>
      <c r="O143" s="24" t="str">
        <f aca="false">IF(N143="","",ABS(N143))</f>
        <v/>
      </c>
    </row>
    <row r="144" customFormat="false" ht="15" hidden="false" customHeight="false" outlineLevel="0" collapsed="false">
      <c r="A144" s="43"/>
      <c r="B144" s="30"/>
      <c r="C144" s="30"/>
      <c r="D144" s="27"/>
      <c r="E144" s="41"/>
      <c r="F144" s="41"/>
      <c r="G144" s="41"/>
      <c r="H144" s="41"/>
      <c r="I144" s="41"/>
      <c r="J144" s="41"/>
      <c r="K144" s="30"/>
      <c r="L144" s="48" t="str">
        <f aca="false">IF(OR(F144="",I144=""),"",IF(F144&gt;=I144,"Yes","No"))</f>
        <v/>
      </c>
      <c r="M144" s="24" t="str">
        <f aca="false">IF(OR(F144="",I144="",I144=0),"",F144/I144-1)</f>
        <v/>
      </c>
      <c r="N144" s="24" t="str">
        <f aca="false">IF(OR(G144="",J144="",J144=0),"",G144/J144-1)</f>
        <v/>
      </c>
      <c r="O144" s="24" t="str">
        <f aca="false">IF(N144="","",ABS(N144))</f>
        <v/>
      </c>
    </row>
    <row r="145" customFormat="false" ht="15" hidden="false" customHeight="false" outlineLevel="0" collapsed="false">
      <c r="A145" s="43"/>
      <c r="B145" s="30"/>
      <c r="C145" s="30"/>
      <c r="D145" s="27"/>
      <c r="E145" s="41"/>
      <c r="F145" s="41"/>
      <c r="G145" s="41"/>
      <c r="H145" s="41"/>
      <c r="I145" s="41"/>
      <c r="J145" s="41"/>
      <c r="K145" s="30"/>
      <c r="L145" s="48" t="str">
        <f aca="false">IF(OR(F145="",I145=""),"",IF(F145&gt;=I145,"Yes","No"))</f>
        <v/>
      </c>
      <c r="M145" s="24" t="str">
        <f aca="false">IF(OR(F145="",I145="",I145=0),"",F145/I145-1)</f>
        <v/>
      </c>
      <c r="N145" s="24" t="str">
        <f aca="false">IF(OR(G145="",J145="",J145=0),"",G145/J145-1)</f>
        <v/>
      </c>
      <c r="O145" s="24" t="str">
        <f aca="false">IF(N145="","",ABS(N145))</f>
        <v/>
      </c>
    </row>
    <row r="146" customFormat="false" ht="15" hidden="false" customHeight="false" outlineLevel="0" collapsed="false">
      <c r="A146" s="43"/>
      <c r="B146" s="30"/>
      <c r="C146" s="30"/>
      <c r="D146" s="27"/>
      <c r="E146" s="41"/>
      <c r="F146" s="41"/>
      <c r="G146" s="41"/>
      <c r="H146" s="41"/>
      <c r="I146" s="41"/>
      <c r="J146" s="41"/>
      <c r="K146" s="30"/>
      <c r="L146" s="48" t="str">
        <f aca="false">IF(OR(F146="",I146=""),"",IF(F146&gt;=I146,"Yes","No"))</f>
        <v/>
      </c>
      <c r="M146" s="24" t="str">
        <f aca="false">IF(OR(F146="",I146="",I146=0),"",F146/I146-1)</f>
        <v/>
      </c>
      <c r="N146" s="24" t="str">
        <f aca="false">IF(OR(G146="",J146="",J146=0),"",G146/J146-1)</f>
        <v/>
      </c>
      <c r="O146" s="24" t="str">
        <f aca="false">IF(N146="","",ABS(N146))</f>
        <v/>
      </c>
    </row>
    <row r="147" customFormat="false" ht="15" hidden="false" customHeight="false" outlineLevel="0" collapsed="false">
      <c r="A147" s="43"/>
      <c r="B147" s="30"/>
      <c r="C147" s="30"/>
      <c r="D147" s="27"/>
      <c r="E147" s="41"/>
      <c r="F147" s="41"/>
      <c r="G147" s="41"/>
      <c r="H147" s="41"/>
      <c r="I147" s="41"/>
      <c r="J147" s="41"/>
      <c r="K147" s="30"/>
      <c r="L147" s="48" t="str">
        <f aca="false">IF(OR(F147="",I147=""),"",IF(F147&gt;=I147,"Yes","No"))</f>
        <v/>
      </c>
      <c r="M147" s="24" t="str">
        <f aca="false">IF(OR(F147="",I147="",I147=0),"",F147/I147-1)</f>
        <v/>
      </c>
      <c r="N147" s="24" t="str">
        <f aca="false">IF(OR(G147="",J147="",J147=0),"",G147/J147-1)</f>
        <v/>
      </c>
      <c r="O147" s="24" t="str">
        <f aca="false">IF(N147="","",ABS(N147))</f>
        <v/>
      </c>
    </row>
    <row r="148" customFormat="false" ht="15" hidden="false" customHeight="false" outlineLevel="0" collapsed="false">
      <c r="A148" s="43"/>
      <c r="B148" s="30"/>
      <c r="C148" s="30"/>
      <c r="D148" s="27"/>
      <c r="E148" s="41"/>
      <c r="F148" s="41"/>
      <c r="G148" s="41"/>
      <c r="H148" s="41"/>
      <c r="I148" s="41"/>
      <c r="J148" s="41"/>
      <c r="K148" s="30"/>
      <c r="L148" s="48" t="str">
        <f aca="false">IF(OR(F148="",I148=""),"",IF(F148&gt;=I148,"Yes","No"))</f>
        <v/>
      </c>
      <c r="M148" s="24" t="str">
        <f aca="false">IF(OR(F148="",I148="",I148=0),"",F148/I148-1)</f>
        <v/>
      </c>
      <c r="N148" s="24" t="str">
        <f aca="false">IF(OR(G148="",J148="",J148=0),"",G148/J148-1)</f>
        <v/>
      </c>
      <c r="O148" s="24" t="str">
        <f aca="false">IF(N148="","",ABS(N148))</f>
        <v/>
      </c>
    </row>
    <row r="149" customFormat="false" ht="15" hidden="false" customHeight="false" outlineLevel="0" collapsed="false">
      <c r="A149" s="43"/>
      <c r="B149" s="30"/>
      <c r="C149" s="30"/>
      <c r="D149" s="27"/>
      <c r="E149" s="41"/>
      <c r="F149" s="41"/>
      <c r="G149" s="41"/>
      <c r="H149" s="41"/>
      <c r="I149" s="41"/>
      <c r="J149" s="41"/>
      <c r="K149" s="30"/>
      <c r="L149" s="48" t="str">
        <f aca="false">IF(OR(F149="",I149=""),"",IF(F149&gt;=I149,"Yes","No"))</f>
        <v/>
      </c>
      <c r="M149" s="24" t="str">
        <f aca="false">IF(OR(F149="",I149="",I149=0),"",F149/I149-1)</f>
        <v/>
      </c>
      <c r="N149" s="24" t="str">
        <f aca="false">IF(OR(G149="",J149="",J149=0),"",G149/J149-1)</f>
        <v/>
      </c>
      <c r="O149" s="24" t="str">
        <f aca="false">IF(N149="","",ABS(N149))</f>
        <v/>
      </c>
    </row>
    <row r="150" customFormat="false" ht="15" hidden="false" customHeight="false" outlineLevel="0" collapsed="false">
      <c r="A150" s="43"/>
      <c r="B150" s="30"/>
      <c r="C150" s="30"/>
      <c r="D150" s="27"/>
      <c r="E150" s="41"/>
      <c r="F150" s="41"/>
      <c r="G150" s="41"/>
      <c r="H150" s="41"/>
      <c r="I150" s="41"/>
      <c r="J150" s="41"/>
      <c r="K150" s="30"/>
      <c r="L150" s="48" t="str">
        <f aca="false">IF(OR(F150="",I150=""),"",IF(F150&gt;=I150,"Yes","No"))</f>
        <v/>
      </c>
      <c r="M150" s="24" t="str">
        <f aca="false">IF(OR(F150="",I150="",I150=0),"",F150/I150-1)</f>
        <v/>
      </c>
      <c r="N150" s="24" t="str">
        <f aca="false">IF(OR(G150="",J150="",J150=0),"",G150/J150-1)</f>
        <v/>
      </c>
      <c r="O150" s="24" t="str">
        <f aca="false">IF(N150="","",ABS(N150))</f>
        <v/>
      </c>
    </row>
    <row r="151" customFormat="false" ht="15" hidden="false" customHeight="false" outlineLevel="0" collapsed="false">
      <c r="A151" s="43"/>
      <c r="B151" s="30"/>
      <c r="C151" s="30"/>
      <c r="D151" s="27"/>
      <c r="E151" s="41"/>
      <c r="F151" s="41"/>
      <c r="G151" s="41"/>
      <c r="H151" s="41"/>
      <c r="I151" s="41"/>
      <c r="J151" s="41"/>
      <c r="K151" s="30"/>
      <c r="L151" s="48" t="str">
        <f aca="false">IF(OR(F151="",I151=""),"",IF(F151&gt;=I151,"Yes","No"))</f>
        <v/>
      </c>
      <c r="M151" s="24" t="str">
        <f aca="false">IF(OR(F151="",I151="",I151=0),"",F151/I151-1)</f>
        <v/>
      </c>
      <c r="N151" s="24" t="str">
        <f aca="false">IF(OR(G151="",J151="",J151=0),"",G151/J151-1)</f>
        <v/>
      </c>
      <c r="O151" s="24" t="str">
        <f aca="false">IF(N151="","",ABS(N151))</f>
        <v/>
      </c>
    </row>
    <row r="152" customFormat="false" ht="15" hidden="false" customHeight="false" outlineLevel="0" collapsed="false">
      <c r="A152" s="43"/>
      <c r="B152" s="30"/>
      <c r="C152" s="30"/>
      <c r="D152" s="27"/>
      <c r="E152" s="41"/>
      <c r="F152" s="41"/>
      <c r="G152" s="41"/>
      <c r="H152" s="41"/>
      <c r="I152" s="41"/>
      <c r="J152" s="41"/>
      <c r="K152" s="30"/>
      <c r="L152" s="48" t="str">
        <f aca="false">IF(OR(F152="",I152=""),"",IF(F152&gt;=I152,"Yes","No"))</f>
        <v/>
      </c>
      <c r="M152" s="24" t="str">
        <f aca="false">IF(OR(F152="",I152="",I152=0),"",F152/I152-1)</f>
        <v/>
      </c>
      <c r="N152" s="24" t="str">
        <f aca="false">IF(OR(G152="",J152="",J152=0),"",G152/J152-1)</f>
        <v/>
      </c>
      <c r="O152" s="24" t="str">
        <f aca="false">IF(N152="","",ABS(N152))</f>
        <v/>
      </c>
    </row>
    <row r="153" customFormat="false" ht="15" hidden="false" customHeight="false" outlineLevel="0" collapsed="false">
      <c r="A153" s="43"/>
      <c r="B153" s="30"/>
      <c r="C153" s="30"/>
      <c r="D153" s="27"/>
      <c r="E153" s="41"/>
      <c r="F153" s="41"/>
      <c r="G153" s="41"/>
      <c r="H153" s="41"/>
      <c r="I153" s="41"/>
      <c r="J153" s="41"/>
      <c r="K153" s="30"/>
      <c r="L153" s="48" t="str">
        <f aca="false">IF(OR(F153="",I153=""),"",IF(F153&gt;=I153,"Yes","No"))</f>
        <v/>
      </c>
      <c r="M153" s="24" t="str">
        <f aca="false">IF(OR(F153="",I153="",I153=0),"",F153/I153-1)</f>
        <v/>
      </c>
      <c r="N153" s="24" t="str">
        <f aca="false">IF(OR(G153="",J153="",J153=0),"",G153/J153-1)</f>
        <v/>
      </c>
      <c r="O153" s="24" t="str">
        <f aca="false">IF(N153="","",ABS(N153))</f>
        <v/>
      </c>
    </row>
    <row r="154" customFormat="false" ht="15" hidden="false" customHeight="false" outlineLevel="0" collapsed="false">
      <c r="A154" s="43"/>
      <c r="B154" s="30"/>
      <c r="C154" s="30"/>
      <c r="D154" s="27"/>
      <c r="E154" s="41"/>
      <c r="F154" s="41"/>
      <c r="G154" s="41"/>
      <c r="H154" s="41"/>
      <c r="I154" s="41"/>
      <c r="J154" s="41"/>
      <c r="K154" s="30"/>
      <c r="L154" s="48" t="str">
        <f aca="false">IF(OR(F154="",I154=""),"",IF(F154&gt;=I154,"Yes","No"))</f>
        <v/>
      </c>
      <c r="M154" s="24" t="str">
        <f aca="false">IF(OR(F154="",I154="",I154=0),"",F154/I154-1)</f>
        <v/>
      </c>
      <c r="N154" s="24" t="str">
        <f aca="false">IF(OR(G154="",J154="",J154=0),"",G154/J154-1)</f>
        <v/>
      </c>
      <c r="O154" s="24" t="str">
        <f aca="false">IF(N154="","",ABS(N154))</f>
        <v/>
      </c>
    </row>
    <row r="155" customFormat="false" ht="15" hidden="false" customHeight="false" outlineLevel="0" collapsed="false">
      <c r="A155" s="43"/>
      <c r="B155" s="30"/>
      <c r="C155" s="30"/>
      <c r="D155" s="27"/>
      <c r="E155" s="41"/>
      <c r="F155" s="41"/>
      <c r="G155" s="41"/>
      <c r="H155" s="41"/>
      <c r="I155" s="41"/>
      <c r="J155" s="41"/>
      <c r="K155" s="30"/>
      <c r="L155" s="48" t="str">
        <f aca="false">IF(OR(F155="",I155=""),"",IF(F155&gt;=I155,"Yes","No"))</f>
        <v/>
      </c>
      <c r="M155" s="24" t="str">
        <f aca="false">IF(OR(F155="",I155="",I155=0),"",F155/I155-1)</f>
        <v/>
      </c>
      <c r="N155" s="24" t="str">
        <f aca="false">IF(OR(G155="",J155="",J155=0),"",G155/J155-1)</f>
        <v/>
      </c>
      <c r="O155" s="24" t="str">
        <f aca="false">IF(N155="","",ABS(N155))</f>
        <v/>
      </c>
    </row>
    <row r="156" customFormat="false" ht="15" hidden="false" customHeight="false" outlineLevel="0" collapsed="false">
      <c r="A156" s="43"/>
      <c r="B156" s="30"/>
      <c r="C156" s="30"/>
      <c r="D156" s="27"/>
      <c r="E156" s="41"/>
      <c r="F156" s="41"/>
      <c r="G156" s="41"/>
      <c r="H156" s="41"/>
      <c r="I156" s="41"/>
      <c r="J156" s="41"/>
      <c r="K156" s="30"/>
      <c r="L156" s="48" t="str">
        <f aca="false">IF(OR(F156="",I156=""),"",IF(F156&gt;=I156,"Yes","No"))</f>
        <v/>
      </c>
      <c r="M156" s="24" t="str">
        <f aca="false">IF(OR(F156="",I156="",I156=0),"",F156/I156-1)</f>
        <v/>
      </c>
      <c r="N156" s="24" t="str">
        <f aca="false">IF(OR(G156="",J156="",J156=0),"",G156/J156-1)</f>
        <v/>
      </c>
      <c r="O156" s="24" t="str">
        <f aca="false">IF(N156="","",ABS(N156))</f>
        <v/>
      </c>
    </row>
    <row r="157" customFormat="false" ht="15" hidden="false" customHeight="false" outlineLevel="0" collapsed="false">
      <c r="A157" s="43"/>
      <c r="B157" s="30"/>
      <c r="C157" s="30"/>
      <c r="D157" s="27"/>
      <c r="E157" s="41"/>
      <c r="F157" s="41"/>
      <c r="G157" s="41"/>
      <c r="H157" s="41"/>
      <c r="I157" s="41"/>
      <c r="J157" s="41"/>
      <c r="K157" s="30"/>
      <c r="L157" s="48" t="str">
        <f aca="false">IF(OR(F157="",I157=""),"",IF(F157&gt;=I157,"Yes","No"))</f>
        <v/>
      </c>
      <c r="M157" s="24" t="str">
        <f aca="false">IF(OR(F157="",I157="",I157=0),"",F157/I157-1)</f>
        <v/>
      </c>
      <c r="N157" s="24" t="str">
        <f aca="false">IF(OR(G157="",J157="",J157=0),"",G157/J157-1)</f>
        <v/>
      </c>
      <c r="O157" s="24" t="str">
        <f aca="false">IF(N157="","",ABS(N157))</f>
        <v/>
      </c>
    </row>
    <row r="158" customFormat="false" ht="15" hidden="false" customHeight="false" outlineLevel="0" collapsed="false">
      <c r="A158" s="43"/>
      <c r="B158" s="30"/>
      <c r="C158" s="30"/>
      <c r="D158" s="27"/>
      <c r="E158" s="41"/>
      <c r="F158" s="41"/>
      <c r="G158" s="41"/>
      <c r="H158" s="41"/>
      <c r="I158" s="41"/>
      <c r="J158" s="41"/>
      <c r="K158" s="30"/>
      <c r="L158" s="48" t="str">
        <f aca="false">IF(OR(F158="",I158=""),"",IF(F158&gt;=I158,"Yes","No"))</f>
        <v/>
      </c>
      <c r="M158" s="24" t="str">
        <f aca="false">IF(OR(F158="",I158="",I158=0),"",F158/I158-1)</f>
        <v/>
      </c>
      <c r="N158" s="24" t="str">
        <f aca="false">IF(OR(G158="",J158="",J158=0),"",G158/J158-1)</f>
        <v/>
      </c>
      <c r="O158" s="24" t="str">
        <f aca="false">IF(N158="","",ABS(N158))</f>
        <v/>
      </c>
    </row>
    <row r="159" customFormat="false" ht="15" hidden="false" customHeight="false" outlineLevel="0" collapsed="false">
      <c r="A159" s="43"/>
      <c r="B159" s="30"/>
      <c r="C159" s="30"/>
      <c r="D159" s="27"/>
      <c r="E159" s="41"/>
      <c r="F159" s="41"/>
      <c r="G159" s="41"/>
      <c r="H159" s="41"/>
      <c r="I159" s="41"/>
      <c r="J159" s="41"/>
      <c r="K159" s="30"/>
      <c r="L159" s="48" t="str">
        <f aca="false">IF(OR(F159="",I159=""),"",IF(F159&gt;=I159,"Yes","No"))</f>
        <v/>
      </c>
      <c r="M159" s="24" t="str">
        <f aca="false">IF(OR(F159="",I159="",I159=0),"",F159/I159-1)</f>
        <v/>
      </c>
      <c r="N159" s="24" t="str">
        <f aca="false">IF(OR(G159="",J159="",J159=0),"",G159/J159-1)</f>
        <v/>
      </c>
      <c r="O159" s="24" t="str">
        <f aca="false">IF(N159="","",ABS(N159))</f>
        <v/>
      </c>
    </row>
    <row r="160" customFormat="false" ht="15" hidden="false" customHeight="false" outlineLevel="0" collapsed="false">
      <c r="A160" s="43"/>
      <c r="B160" s="30"/>
      <c r="C160" s="30"/>
      <c r="D160" s="27"/>
      <c r="E160" s="41"/>
      <c r="F160" s="41"/>
      <c r="G160" s="41"/>
      <c r="H160" s="41"/>
      <c r="I160" s="41"/>
      <c r="J160" s="41"/>
      <c r="K160" s="30"/>
      <c r="L160" s="48" t="str">
        <f aca="false">IF(OR(F160="",I160=""),"",IF(F160&gt;=I160,"Yes","No"))</f>
        <v/>
      </c>
      <c r="M160" s="24" t="str">
        <f aca="false">IF(OR(F160="",I160="",I160=0),"",F160/I160-1)</f>
        <v/>
      </c>
      <c r="N160" s="24" t="str">
        <f aca="false">IF(OR(G160="",J160="",J160=0),"",G160/J160-1)</f>
        <v/>
      </c>
      <c r="O160" s="24" t="str">
        <f aca="false">IF(N160="","",ABS(N160))</f>
        <v/>
      </c>
    </row>
    <row r="161" customFormat="false" ht="15" hidden="false" customHeight="false" outlineLevel="0" collapsed="false">
      <c r="A161" s="43"/>
      <c r="B161" s="30"/>
      <c r="C161" s="30"/>
      <c r="D161" s="27"/>
      <c r="E161" s="41"/>
      <c r="F161" s="41"/>
      <c r="G161" s="41"/>
      <c r="H161" s="41"/>
      <c r="I161" s="41"/>
      <c r="J161" s="41"/>
      <c r="K161" s="30"/>
      <c r="L161" s="48" t="str">
        <f aca="false">IF(OR(F161="",I161=""),"",IF(F161&gt;=I161,"Yes","No"))</f>
        <v/>
      </c>
      <c r="M161" s="24" t="str">
        <f aca="false">IF(OR(F161="",I161="",I161=0),"",F161/I161-1)</f>
        <v/>
      </c>
      <c r="N161" s="24" t="str">
        <f aca="false">IF(OR(G161="",J161="",J161=0),"",G161/J161-1)</f>
        <v/>
      </c>
      <c r="O161" s="24" t="str">
        <f aca="false">IF(N161="","",ABS(N161))</f>
        <v/>
      </c>
    </row>
    <row r="162" customFormat="false" ht="15" hidden="false" customHeight="false" outlineLevel="0" collapsed="false">
      <c r="A162" s="43"/>
      <c r="B162" s="30"/>
      <c r="C162" s="30"/>
      <c r="D162" s="27"/>
      <c r="E162" s="41"/>
      <c r="F162" s="41"/>
      <c r="G162" s="41"/>
      <c r="H162" s="41"/>
      <c r="I162" s="41"/>
      <c r="J162" s="41"/>
      <c r="K162" s="30"/>
      <c r="L162" s="48" t="str">
        <f aca="false">IF(OR(F162="",I162=""),"",IF(F162&gt;=I162,"Yes","No"))</f>
        <v/>
      </c>
      <c r="M162" s="24" t="str">
        <f aca="false">IF(OR(F162="",I162="",I162=0),"",F162/I162-1)</f>
        <v/>
      </c>
      <c r="N162" s="24" t="str">
        <f aca="false">IF(OR(G162="",J162="",J162=0),"",G162/J162-1)</f>
        <v/>
      </c>
      <c r="O162" s="24" t="str">
        <f aca="false">IF(N162="","",ABS(N162))</f>
        <v/>
      </c>
    </row>
    <row r="163" customFormat="false" ht="15" hidden="false" customHeight="false" outlineLevel="0" collapsed="false">
      <c r="A163" s="43"/>
      <c r="B163" s="30"/>
      <c r="C163" s="30"/>
      <c r="D163" s="27"/>
      <c r="E163" s="41"/>
      <c r="F163" s="41"/>
      <c r="G163" s="41"/>
      <c r="H163" s="41"/>
      <c r="I163" s="41"/>
      <c r="J163" s="41"/>
      <c r="K163" s="30"/>
      <c r="L163" s="48" t="str">
        <f aca="false">IF(OR(F163="",I163=""),"",IF(F163&gt;=I163,"Yes","No"))</f>
        <v/>
      </c>
      <c r="M163" s="24" t="str">
        <f aca="false">IF(OR(F163="",I163="",I163=0),"",F163/I163-1)</f>
        <v/>
      </c>
      <c r="N163" s="24" t="str">
        <f aca="false">IF(OR(G163="",J163="",J163=0),"",G163/J163-1)</f>
        <v/>
      </c>
      <c r="O163" s="24" t="str">
        <f aca="false">IF(N163="","",ABS(N163))</f>
        <v/>
      </c>
    </row>
    <row r="164" customFormat="false" ht="15" hidden="false" customHeight="false" outlineLevel="0" collapsed="false">
      <c r="A164" s="43"/>
      <c r="B164" s="30"/>
      <c r="C164" s="30"/>
      <c r="D164" s="27"/>
      <c r="E164" s="41"/>
      <c r="F164" s="41"/>
      <c r="G164" s="41"/>
      <c r="H164" s="41"/>
      <c r="I164" s="41"/>
      <c r="J164" s="41"/>
      <c r="K164" s="30"/>
      <c r="L164" s="48" t="str">
        <f aca="false">IF(OR(F164="",I164=""),"",IF(F164&gt;=I164,"Yes","No"))</f>
        <v/>
      </c>
      <c r="M164" s="24" t="str">
        <f aca="false">IF(OR(F164="",I164="",I164=0),"",F164/I164-1)</f>
        <v/>
      </c>
      <c r="N164" s="24" t="str">
        <f aca="false">IF(OR(G164="",J164="",J164=0),"",G164/J164-1)</f>
        <v/>
      </c>
      <c r="O164" s="24" t="str">
        <f aca="false">IF(N164="","",ABS(N164))</f>
        <v/>
      </c>
    </row>
    <row r="165" customFormat="false" ht="15" hidden="false" customHeight="false" outlineLevel="0" collapsed="false">
      <c r="A165" s="43"/>
      <c r="B165" s="30"/>
      <c r="C165" s="30"/>
      <c r="D165" s="27"/>
      <c r="E165" s="41"/>
      <c r="F165" s="41"/>
      <c r="G165" s="41"/>
      <c r="H165" s="41"/>
      <c r="I165" s="41"/>
      <c r="J165" s="41"/>
      <c r="K165" s="30"/>
      <c r="L165" s="48" t="str">
        <f aca="false">IF(OR(F165="",I165=""),"",IF(F165&gt;=I165,"Yes","No"))</f>
        <v/>
      </c>
      <c r="M165" s="24" t="str">
        <f aca="false">IF(OR(F165="",I165="",I165=0),"",F165/I165-1)</f>
        <v/>
      </c>
      <c r="N165" s="24" t="str">
        <f aca="false">IF(OR(G165="",J165="",J165=0),"",G165/J165-1)</f>
        <v/>
      </c>
      <c r="O165" s="24" t="str">
        <f aca="false">IF(N165="","",ABS(N165))</f>
        <v/>
      </c>
    </row>
    <row r="166" customFormat="false" ht="15" hidden="false" customHeight="false" outlineLevel="0" collapsed="false">
      <c r="A166" s="43"/>
      <c r="B166" s="30"/>
      <c r="C166" s="30"/>
      <c r="D166" s="27"/>
      <c r="E166" s="41"/>
      <c r="F166" s="41"/>
      <c r="G166" s="41"/>
      <c r="H166" s="41"/>
      <c r="I166" s="41"/>
      <c r="J166" s="41"/>
      <c r="K166" s="30"/>
      <c r="L166" s="48" t="str">
        <f aca="false">IF(OR(F166="",I166=""),"",IF(F166&gt;=I166,"Yes","No"))</f>
        <v/>
      </c>
      <c r="M166" s="24" t="str">
        <f aca="false">IF(OR(F166="",I166="",I166=0),"",F166/I166-1)</f>
        <v/>
      </c>
      <c r="N166" s="24" t="str">
        <f aca="false">IF(OR(G166="",J166="",J166=0),"",G166/J166-1)</f>
        <v/>
      </c>
      <c r="O166" s="24" t="str">
        <f aca="false">IF(N166="","",ABS(N166))</f>
        <v/>
      </c>
    </row>
    <row r="167" customFormat="false" ht="15" hidden="false" customHeight="false" outlineLevel="0" collapsed="false">
      <c r="A167" s="43"/>
      <c r="B167" s="30"/>
      <c r="C167" s="30"/>
      <c r="D167" s="27"/>
      <c r="E167" s="41"/>
      <c r="F167" s="41"/>
      <c r="G167" s="41"/>
      <c r="H167" s="41"/>
      <c r="I167" s="41"/>
      <c r="J167" s="41"/>
      <c r="K167" s="30"/>
      <c r="L167" s="48" t="str">
        <f aca="false">IF(OR(F167="",I167=""),"",IF(F167&gt;=I167,"Yes","No"))</f>
        <v/>
      </c>
      <c r="M167" s="24" t="str">
        <f aca="false">IF(OR(F167="",I167="",I167=0),"",F167/I167-1)</f>
        <v/>
      </c>
      <c r="N167" s="24" t="str">
        <f aca="false">IF(OR(G167="",J167="",J167=0),"",G167/J167-1)</f>
        <v/>
      </c>
      <c r="O167" s="24" t="str">
        <f aca="false">IF(N167="","",ABS(N167))</f>
        <v/>
      </c>
    </row>
    <row r="168" customFormat="false" ht="15" hidden="false" customHeight="false" outlineLevel="0" collapsed="false">
      <c r="A168" s="43"/>
      <c r="B168" s="30"/>
      <c r="C168" s="30"/>
      <c r="D168" s="27"/>
      <c r="E168" s="41"/>
      <c r="F168" s="41"/>
      <c r="G168" s="41"/>
      <c r="H168" s="41"/>
      <c r="I168" s="41"/>
      <c r="J168" s="41"/>
      <c r="K168" s="30"/>
      <c r="L168" s="48" t="str">
        <f aca="false">IF(OR(F168="",I168=""),"",IF(F168&gt;=I168,"Yes","No"))</f>
        <v/>
      </c>
      <c r="M168" s="24" t="str">
        <f aca="false">IF(OR(F168="",I168="",I168=0),"",F168/I168-1)</f>
        <v/>
      </c>
      <c r="N168" s="24" t="str">
        <f aca="false">IF(OR(G168="",J168="",J168=0),"",G168/J168-1)</f>
        <v/>
      </c>
      <c r="O168" s="24" t="str">
        <f aca="false">IF(N168="","",ABS(N168))</f>
        <v/>
      </c>
    </row>
    <row r="169" customFormat="false" ht="15" hidden="false" customHeight="false" outlineLevel="0" collapsed="false">
      <c r="A169" s="43"/>
      <c r="B169" s="30"/>
      <c r="C169" s="30"/>
      <c r="D169" s="27"/>
      <c r="E169" s="41"/>
      <c r="F169" s="41"/>
      <c r="G169" s="41"/>
      <c r="H169" s="41"/>
      <c r="I169" s="41"/>
      <c r="J169" s="41"/>
      <c r="K169" s="30"/>
      <c r="L169" s="48" t="str">
        <f aca="false">IF(OR(F169="",I169=""),"",IF(F169&gt;=I169,"Yes","No"))</f>
        <v/>
      </c>
      <c r="M169" s="24" t="str">
        <f aca="false">IF(OR(F169="",I169="",I169=0),"",F169/I169-1)</f>
        <v/>
      </c>
      <c r="N169" s="24" t="str">
        <f aca="false">IF(OR(G169="",J169="",J169=0),"",G169/J169-1)</f>
        <v/>
      </c>
      <c r="O169" s="24" t="str">
        <f aca="false">IF(N169="","",ABS(N169))</f>
        <v/>
      </c>
    </row>
    <row r="170" customFormat="false" ht="15" hidden="false" customHeight="false" outlineLevel="0" collapsed="false">
      <c r="A170" s="43"/>
      <c r="B170" s="30"/>
      <c r="C170" s="30"/>
      <c r="D170" s="27"/>
      <c r="E170" s="41"/>
      <c r="F170" s="41"/>
      <c r="G170" s="41"/>
      <c r="H170" s="41"/>
      <c r="I170" s="41"/>
      <c r="J170" s="41"/>
      <c r="K170" s="30"/>
      <c r="L170" s="48" t="str">
        <f aca="false">IF(OR(F170="",I170=""),"",IF(F170&gt;=I170,"Yes","No"))</f>
        <v/>
      </c>
      <c r="M170" s="24" t="str">
        <f aca="false">IF(OR(F170="",I170="",I170=0),"",F170/I170-1)</f>
        <v/>
      </c>
      <c r="N170" s="24" t="str">
        <f aca="false">IF(OR(G170="",J170="",J170=0),"",G170/J170-1)</f>
        <v/>
      </c>
      <c r="O170" s="24" t="str">
        <f aca="false">IF(N170="","",ABS(N170))</f>
        <v/>
      </c>
    </row>
    <row r="171" customFormat="false" ht="15" hidden="false" customHeight="false" outlineLevel="0" collapsed="false">
      <c r="A171" s="43"/>
      <c r="B171" s="30"/>
      <c r="C171" s="30"/>
      <c r="D171" s="27"/>
      <c r="E171" s="41"/>
      <c r="F171" s="41"/>
      <c r="G171" s="41"/>
      <c r="H171" s="41"/>
      <c r="I171" s="41"/>
      <c r="J171" s="41"/>
      <c r="K171" s="30"/>
      <c r="L171" s="48" t="str">
        <f aca="false">IF(OR(F171="",I171=""),"",IF(F171&gt;=I171,"Yes","No"))</f>
        <v/>
      </c>
      <c r="M171" s="24" t="str">
        <f aca="false">IF(OR(F171="",I171="",I171=0),"",F171/I171-1)</f>
        <v/>
      </c>
      <c r="N171" s="24" t="str">
        <f aca="false">IF(OR(G171="",J171="",J171=0),"",G171/J171-1)</f>
        <v/>
      </c>
      <c r="O171" s="24" t="str">
        <f aca="false">IF(N171="","",ABS(N171))</f>
        <v/>
      </c>
    </row>
    <row r="172" customFormat="false" ht="15" hidden="false" customHeight="false" outlineLevel="0" collapsed="false">
      <c r="A172" s="43"/>
      <c r="B172" s="30"/>
      <c r="C172" s="30"/>
      <c r="D172" s="27"/>
      <c r="E172" s="41"/>
      <c r="F172" s="41"/>
      <c r="G172" s="41"/>
      <c r="H172" s="41"/>
      <c r="I172" s="41"/>
      <c r="J172" s="41"/>
      <c r="K172" s="30"/>
      <c r="L172" s="48" t="str">
        <f aca="false">IF(OR(F172="",I172=""),"",IF(F172&gt;=I172,"Yes","No"))</f>
        <v/>
      </c>
      <c r="M172" s="24" t="str">
        <f aca="false">IF(OR(F172="",I172="",I172=0),"",F172/I172-1)</f>
        <v/>
      </c>
      <c r="N172" s="24" t="str">
        <f aca="false">IF(OR(G172="",J172="",J172=0),"",G172/J172-1)</f>
        <v/>
      </c>
      <c r="O172" s="24" t="str">
        <f aca="false">IF(N172="","",ABS(N172))</f>
        <v/>
      </c>
    </row>
    <row r="173" customFormat="false" ht="15" hidden="false" customHeight="false" outlineLevel="0" collapsed="false">
      <c r="A173" s="43"/>
      <c r="B173" s="30"/>
      <c r="C173" s="30"/>
      <c r="D173" s="27"/>
      <c r="E173" s="41"/>
      <c r="F173" s="41"/>
      <c r="G173" s="41"/>
      <c r="H173" s="41"/>
      <c r="I173" s="41"/>
      <c r="J173" s="41"/>
      <c r="K173" s="30"/>
      <c r="L173" s="48" t="str">
        <f aca="false">IF(OR(F173="",I173=""),"",IF(F173&gt;=I173,"Yes","No"))</f>
        <v/>
      </c>
      <c r="M173" s="24" t="str">
        <f aca="false">IF(OR(F173="",I173="",I173=0),"",F173/I173-1)</f>
        <v/>
      </c>
      <c r="N173" s="24" t="str">
        <f aca="false">IF(OR(G173="",J173="",J173=0),"",G173/J173-1)</f>
        <v/>
      </c>
      <c r="O173" s="24" t="str">
        <f aca="false">IF(N173="","",ABS(N173))</f>
        <v/>
      </c>
    </row>
    <row r="174" customFormat="false" ht="15" hidden="false" customHeight="false" outlineLevel="0" collapsed="false">
      <c r="A174" s="43"/>
      <c r="B174" s="30"/>
      <c r="C174" s="30"/>
      <c r="D174" s="27"/>
      <c r="E174" s="41"/>
      <c r="F174" s="41"/>
      <c r="G174" s="41"/>
      <c r="H174" s="41"/>
      <c r="I174" s="41"/>
      <c r="J174" s="41"/>
      <c r="K174" s="30"/>
      <c r="L174" s="48" t="str">
        <f aca="false">IF(OR(F174="",I174=""),"",IF(F174&gt;=I174,"Yes","No"))</f>
        <v/>
      </c>
      <c r="M174" s="24" t="str">
        <f aca="false">IF(OR(F174="",I174="",I174=0),"",F174/I174-1)</f>
        <v/>
      </c>
      <c r="N174" s="24" t="str">
        <f aca="false">IF(OR(G174="",J174="",J174=0),"",G174/J174-1)</f>
        <v/>
      </c>
      <c r="O174" s="24" t="str">
        <f aca="false">IF(N174="","",ABS(N174))</f>
        <v/>
      </c>
    </row>
    <row r="175" customFormat="false" ht="15" hidden="false" customHeight="false" outlineLevel="0" collapsed="false">
      <c r="A175" s="43"/>
      <c r="B175" s="30"/>
      <c r="C175" s="30"/>
      <c r="D175" s="27"/>
      <c r="E175" s="41"/>
      <c r="F175" s="41"/>
      <c r="G175" s="41"/>
      <c r="H175" s="41"/>
      <c r="I175" s="41"/>
      <c r="J175" s="41"/>
      <c r="K175" s="30"/>
      <c r="L175" s="48" t="str">
        <f aca="false">IF(OR(F175="",I175=""),"",IF(F175&gt;=I175,"Yes","No"))</f>
        <v/>
      </c>
      <c r="M175" s="24" t="str">
        <f aca="false">IF(OR(F175="",I175="",I175=0),"",F175/I175-1)</f>
        <v/>
      </c>
      <c r="N175" s="24" t="str">
        <f aca="false">IF(OR(G175="",J175="",J175=0),"",G175/J175-1)</f>
        <v/>
      </c>
      <c r="O175" s="24" t="str">
        <f aca="false">IF(N175="","",ABS(N175))</f>
        <v/>
      </c>
    </row>
    <row r="176" customFormat="false" ht="15" hidden="false" customHeight="false" outlineLevel="0" collapsed="false">
      <c r="A176" s="43"/>
      <c r="B176" s="30"/>
      <c r="C176" s="30"/>
      <c r="D176" s="27"/>
      <c r="E176" s="41"/>
      <c r="F176" s="41"/>
      <c r="G176" s="41"/>
      <c r="H176" s="41"/>
      <c r="I176" s="41"/>
      <c r="J176" s="41"/>
      <c r="K176" s="30"/>
      <c r="L176" s="48" t="str">
        <f aca="false">IF(OR(F176="",I176=""),"",IF(F176&gt;=I176,"Yes","No"))</f>
        <v/>
      </c>
      <c r="M176" s="24" t="str">
        <f aca="false">IF(OR(F176="",I176="",I176=0),"",F176/I176-1)</f>
        <v/>
      </c>
      <c r="N176" s="24" t="str">
        <f aca="false">IF(OR(G176="",J176="",J176=0),"",G176/J176-1)</f>
        <v/>
      </c>
      <c r="O176" s="24" t="str">
        <f aca="false">IF(N176="","",ABS(N176))</f>
        <v/>
      </c>
    </row>
    <row r="177" customFormat="false" ht="15" hidden="false" customHeight="false" outlineLevel="0" collapsed="false">
      <c r="A177" s="43"/>
      <c r="B177" s="30"/>
      <c r="C177" s="30"/>
      <c r="D177" s="27"/>
      <c r="E177" s="41"/>
      <c r="F177" s="41"/>
      <c r="G177" s="41"/>
      <c r="H177" s="41"/>
      <c r="I177" s="41"/>
      <c r="J177" s="41"/>
      <c r="K177" s="30"/>
      <c r="L177" s="48" t="str">
        <f aca="false">IF(OR(F177="",I177=""),"",IF(F177&gt;=I177,"Yes","No"))</f>
        <v/>
      </c>
      <c r="M177" s="24" t="str">
        <f aca="false">IF(OR(F177="",I177="",I177=0),"",F177/I177-1)</f>
        <v/>
      </c>
      <c r="N177" s="24" t="str">
        <f aca="false">IF(OR(G177="",J177="",J177=0),"",G177/J177-1)</f>
        <v/>
      </c>
      <c r="O177" s="24" t="str">
        <f aca="false">IF(N177="","",ABS(N177))</f>
        <v/>
      </c>
    </row>
    <row r="178" customFormat="false" ht="15" hidden="false" customHeight="false" outlineLevel="0" collapsed="false">
      <c r="A178" s="43"/>
      <c r="B178" s="30"/>
      <c r="C178" s="30"/>
      <c r="D178" s="27"/>
      <c r="E178" s="41"/>
      <c r="F178" s="41"/>
      <c r="G178" s="41"/>
      <c r="H178" s="41"/>
      <c r="I178" s="41"/>
      <c r="J178" s="41"/>
      <c r="K178" s="30"/>
      <c r="L178" s="48" t="str">
        <f aca="false">IF(OR(F178="",I178=""),"",IF(F178&gt;=I178,"Yes","No"))</f>
        <v/>
      </c>
      <c r="M178" s="24" t="str">
        <f aca="false">IF(OR(F178="",I178="",I178=0),"",F178/I178-1)</f>
        <v/>
      </c>
      <c r="N178" s="24" t="str">
        <f aca="false">IF(OR(G178="",J178="",J178=0),"",G178/J178-1)</f>
        <v/>
      </c>
      <c r="O178" s="24" t="str">
        <f aca="false">IF(N178="","",ABS(N178))</f>
        <v/>
      </c>
    </row>
    <row r="179" customFormat="false" ht="15" hidden="false" customHeight="false" outlineLevel="0" collapsed="false">
      <c r="A179" s="43"/>
      <c r="B179" s="30"/>
      <c r="C179" s="30"/>
      <c r="D179" s="27"/>
      <c r="E179" s="41"/>
      <c r="F179" s="41"/>
      <c r="G179" s="41"/>
      <c r="H179" s="41"/>
      <c r="I179" s="41"/>
      <c r="J179" s="41"/>
      <c r="K179" s="30"/>
      <c r="L179" s="48" t="str">
        <f aca="false">IF(OR(F179="",I179=""),"",IF(F179&gt;=I179,"Yes","No"))</f>
        <v/>
      </c>
      <c r="M179" s="24" t="str">
        <f aca="false">IF(OR(F179="",I179="",I179=0),"",F179/I179-1)</f>
        <v/>
      </c>
      <c r="N179" s="24" t="str">
        <f aca="false">IF(OR(G179="",J179="",J179=0),"",G179/J179-1)</f>
        <v/>
      </c>
      <c r="O179" s="24" t="str">
        <f aca="false">IF(N179="","",ABS(N179))</f>
        <v/>
      </c>
    </row>
    <row r="180" customFormat="false" ht="15" hidden="false" customHeight="false" outlineLevel="0" collapsed="false">
      <c r="A180" s="43"/>
      <c r="B180" s="30"/>
      <c r="C180" s="30"/>
      <c r="D180" s="27"/>
      <c r="E180" s="41"/>
      <c r="F180" s="41"/>
      <c r="G180" s="41"/>
      <c r="H180" s="41"/>
      <c r="I180" s="41"/>
      <c r="J180" s="41"/>
      <c r="K180" s="30"/>
      <c r="L180" s="48" t="str">
        <f aca="false">IF(OR(F180="",I180=""),"",IF(F180&gt;=I180,"Yes","No"))</f>
        <v/>
      </c>
      <c r="M180" s="24" t="str">
        <f aca="false">IF(OR(F180="",I180="",I180=0),"",F180/I180-1)</f>
        <v/>
      </c>
      <c r="N180" s="24" t="str">
        <f aca="false">IF(OR(G180="",J180="",J180=0),"",G180/J180-1)</f>
        <v/>
      </c>
      <c r="O180" s="24" t="str">
        <f aca="false">IF(N180="","",ABS(N180))</f>
        <v/>
      </c>
    </row>
    <row r="181" customFormat="false" ht="15" hidden="false" customHeight="false" outlineLevel="0" collapsed="false">
      <c r="A181" s="43"/>
      <c r="B181" s="30"/>
      <c r="C181" s="30"/>
      <c r="D181" s="27"/>
      <c r="E181" s="41"/>
      <c r="F181" s="41"/>
      <c r="G181" s="41"/>
      <c r="H181" s="41"/>
      <c r="I181" s="41"/>
      <c r="J181" s="41"/>
      <c r="K181" s="30"/>
      <c r="L181" s="48" t="str">
        <f aca="false">IF(OR(F181="",I181=""),"",IF(F181&gt;=I181,"Yes","No"))</f>
        <v/>
      </c>
      <c r="M181" s="24" t="str">
        <f aca="false">IF(OR(F181="",I181="",I181=0),"",F181/I181-1)</f>
        <v/>
      </c>
      <c r="N181" s="24" t="str">
        <f aca="false">IF(OR(G181="",J181="",J181=0),"",G181/J181-1)</f>
        <v/>
      </c>
      <c r="O181" s="24" t="str">
        <f aca="false">IF(N181="","",ABS(N181))</f>
        <v/>
      </c>
    </row>
    <row r="182" customFormat="false" ht="15" hidden="false" customHeight="false" outlineLevel="0" collapsed="false">
      <c r="A182" s="43"/>
      <c r="B182" s="30"/>
      <c r="C182" s="30"/>
      <c r="D182" s="27"/>
      <c r="E182" s="41"/>
      <c r="F182" s="41"/>
      <c r="G182" s="41"/>
      <c r="H182" s="41"/>
      <c r="I182" s="41"/>
      <c r="J182" s="41"/>
      <c r="K182" s="30"/>
      <c r="L182" s="48" t="str">
        <f aca="false">IF(OR(F182="",I182=""),"",IF(F182&gt;=I182,"Yes","No"))</f>
        <v/>
      </c>
      <c r="M182" s="24" t="str">
        <f aca="false">IF(OR(F182="",I182="",I182=0),"",F182/I182-1)</f>
        <v/>
      </c>
      <c r="N182" s="24" t="str">
        <f aca="false">IF(OR(G182="",J182="",J182=0),"",G182/J182-1)</f>
        <v/>
      </c>
      <c r="O182" s="24" t="str">
        <f aca="false">IF(N182="","",ABS(N182))</f>
        <v/>
      </c>
    </row>
    <row r="183" customFormat="false" ht="15" hidden="false" customHeight="false" outlineLevel="0" collapsed="false">
      <c r="A183" s="43"/>
      <c r="B183" s="30"/>
      <c r="C183" s="30"/>
      <c r="D183" s="27"/>
      <c r="E183" s="41"/>
      <c r="F183" s="41"/>
      <c r="G183" s="41"/>
      <c r="H183" s="41"/>
      <c r="I183" s="41"/>
      <c r="J183" s="41"/>
      <c r="K183" s="30"/>
      <c r="L183" s="48" t="str">
        <f aca="false">IF(OR(F183="",I183=""),"",IF(F183&gt;=I183,"Yes","No"))</f>
        <v/>
      </c>
      <c r="M183" s="24" t="str">
        <f aca="false">IF(OR(F183="",I183="",I183=0),"",F183/I183-1)</f>
        <v/>
      </c>
      <c r="N183" s="24" t="str">
        <f aca="false">IF(OR(G183="",J183="",J183=0),"",G183/J183-1)</f>
        <v/>
      </c>
      <c r="O183" s="24" t="str">
        <f aca="false">IF(N183="","",ABS(N183))</f>
        <v/>
      </c>
    </row>
    <row r="184" customFormat="false" ht="15" hidden="false" customHeight="false" outlineLevel="0" collapsed="false">
      <c r="A184" s="43"/>
      <c r="B184" s="30"/>
      <c r="C184" s="30"/>
      <c r="D184" s="27"/>
      <c r="E184" s="41"/>
      <c r="F184" s="41"/>
      <c r="G184" s="41"/>
      <c r="H184" s="41"/>
      <c r="I184" s="41"/>
      <c r="J184" s="41"/>
      <c r="K184" s="30"/>
      <c r="L184" s="48" t="str">
        <f aca="false">IF(OR(F184="",I184=""),"",IF(F184&gt;=I184,"Yes","No"))</f>
        <v/>
      </c>
      <c r="M184" s="24" t="str">
        <f aca="false">IF(OR(F184="",I184="",I184=0),"",F184/I184-1)</f>
        <v/>
      </c>
      <c r="N184" s="24" t="str">
        <f aca="false">IF(OR(G184="",J184="",J184=0),"",G184/J184-1)</f>
        <v/>
      </c>
      <c r="O184" s="24" t="str">
        <f aca="false">IF(N184="","",ABS(N184))</f>
        <v/>
      </c>
    </row>
    <row r="185" customFormat="false" ht="15" hidden="false" customHeight="false" outlineLevel="0" collapsed="false">
      <c r="A185" s="43"/>
      <c r="B185" s="30"/>
      <c r="C185" s="30"/>
      <c r="D185" s="27"/>
      <c r="E185" s="41"/>
      <c r="F185" s="41"/>
      <c r="G185" s="41"/>
      <c r="H185" s="41"/>
      <c r="I185" s="41"/>
      <c r="J185" s="41"/>
      <c r="K185" s="30"/>
      <c r="L185" s="48" t="str">
        <f aca="false">IF(OR(F185="",I185=""),"",IF(F185&gt;=I185,"Yes","No"))</f>
        <v/>
      </c>
      <c r="M185" s="24" t="str">
        <f aca="false">IF(OR(F185="",I185="",I185=0),"",F185/I185-1)</f>
        <v/>
      </c>
      <c r="N185" s="24" t="str">
        <f aca="false">IF(OR(G185="",J185="",J185=0),"",G185/J185-1)</f>
        <v/>
      </c>
      <c r="O185" s="24" t="str">
        <f aca="false">IF(N185="","",ABS(N185))</f>
        <v/>
      </c>
    </row>
    <row r="186" customFormat="false" ht="15" hidden="false" customHeight="false" outlineLevel="0" collapsed="false">
      <c r="A186" s="43"/>
      <c r="B186" s="30"/>
      <c r="C186" s="30"/>
      <c r="D186" s="27"/>
      <c r="E186" s="41"/>
      <c r="F186" s="41"/>
      <c r="G186" s="41"/>
      <c r="H186" s="41"/>
      <c r="I186" s="41"/>
      <c r="J186" s="41"/>
      <c r="K186" s="30"/>
      <c r="L186" s="48" t="str">
        <f aca="false">IF(OR(F186="",I186=""),"",IF(F186&gt;=I186,"Yes","No"))</f>
        <v/>
      </c>
      <c r="M186" s="24" t="str">
        <f aca="false">IF(OR(F186="",I186="",I186=0),"",F186/I186-1)</f>
        <v/>
      </c>
      <c r="N186" s="24" t="str">
        <f aca="false">IF(OR(G186="",J186="",J186=0),"",G186/J186-1)</f>
        <v/>
      </c>
      <c r="O186" s="24" t="str">
        <f aca="false">IF(N186="","",ABS(N186))</f>
        <v/>
      </c>
    </row>
    <row r="187" customFormat="false" ht="15" hidden="false" customHeight="false" outlineLevel="0" collapsed="false">
      <c r="A187" s="43"/>
      <c r="B187" s="30"/>
      <c r="C187" s="30"/>
      <c r="D187" s="27"/>
      <c r="E187" s="41"/>
      <c r="F187" s="41"/>
      <c r="G187" s="41"/>
      <c r="H187" s="41"/>
      <c r="I187" s="41"/>
      <c r="J187" s="41"/>
      <c r="K187" s="30"/>
      <c r="L187" s="48" t="str">
        <f aca="false">IF(OR(F187="",I187=""),"",IF(F187&gt;=I187,"Yes","No"))</f>
        <v/>
      </c>
      <c r="M187" s="24" t="str">
        <f aca="false">IF(OR(F187="",I187="",I187=0),"",F187/I187-1)</f>
        <v/>
      </c>
      <c r="N187" s="24" t="str">
        <f aca="false">IF(OR(G187="",J187="",J187=0),"",G187/J187-1)</f>
        <v/>
      </c>
      <c r="O187" s="24" t="str">
        <f aca="false">IF(N187="","",ABS(N187))</f>
        <v/>
      </c>
    </row>
    <row r="188" customFormat="false" ht="15" hidden="false" customHeight="false" outlineLevel="0" collapsed="false">
      <c r="A188" s="43"/>
      <c r="B188" s="30"/>
      <c r="C188" s="30"/>
      <c r="D188" s="27"/>
      <c r="E188" s="41"/>
      <c r="F188" s="41"/>
      <c r="G188" s="41"/>
      <c r="H188" s="41"/>
      <c r="I188" s="41"/>
      <c r="J188" s="41"/>
      <c r="K188" s="30"/>
      <c r="L188" s="48" t="str">
        <f aca="false">IF(OR(F188="",I188=""),"",IF(F188&gt;=I188,"Yes","No"))</f>
        <v/>
      </c>
      <c r="M188" s="24" t="str">
        <f aca="false">IF(OR(F188="",I188="",I188=0),"",F188/I188-1)</f>
        <v/>
      </c>
      <c r="N188" s="24" t="str">
        <f aca="false">IF(OR(G188="",J188="",J188=0),"",G188/J188-1)</f>
        <v/>
      </c>
      <c r="O188" s="24" t="str">
        <f aca="false">IF(N188="","",ABS(N188))</f>
        <v/>
      </c>
    </row>
    <row r="189" customFormat="false" ht="15" hidden="false" customHeight="false" outlineLevel="0" collapsed="false">
      <c r="A189" s="43"/>
      <c r="B189" s="30"/>
      <c r="C189" s="30"/>
      <c r="D189" s="27"/>
      <c r="E189" s="41"/>
      <c r="F189" s="41"/>
      <c r="G189" s="41"/>
      <c r="H189" s="41"/>
      <c r="I189" s="41"/>
      <c r="J189" s="41"/>
      <c r="K189" s="30"/>
      <c r="L189" s="48" t="str">
        <f aca="false">IF(OR(F189="",I189=""),"",IF(F189&gt;=I189,"Yes","No"))</f>
        <v/>
      </c>
      <c r="M189" s="24" t="str">
        <f aca="false">IF(OR(F189="",I189="",I189=0),"",F189/I189-1)</f>
        <v/>
      </c>
      <c r="N189" s="24" t="str">
        <f aca="false">IF(OR(G189="",J189="",J189=0),"",G189/J189-1)</f>
        <v/>
      </c>
      <c r="O189" s="24" t="str">
        <f aca="false">IF(N189="","",ABS(N189))</f>
        <v/>
      </c>
    </row>
    <row r="190" customFormat="false" ht="15" hidden="false" customHeight="false" outlineLevel="0" collapsed="false">
      <c r="A190" s="43"/>
      <c r="B190" s="30"/>
      <c r="C190" s="30"/>
      <c r="D190" s="27"/>
      <c r="E190" s="41"/>
      <c r="F190" s="41"/>
      <c r="G190" s="41"/>
      <c r="H190" s="41"/>
      <c r="I190" s="41"/>
      <c r="J190" s="41"/>
      <c r="K190" s="30"/>
      <c r="L190" s="48" t="str">
        <f aca="false">IF(OR(F190="",I190=""),"",IF(F190&gt;=I190,"Yes","No"))</f>
        <v/>
      </c>
      <c r="M190" s="24" t="str">
        <f aca="false">IF(OR(F190="",I190="",I190=0),"",F190/I190-1)</f>
        <v/>
      </c>
      <c r="N190" s="24" t="str">
        <f aca="false">IF(OR(G190="",J190="",J190=0),"",G190/J190-1)</f>
        <v/>
      </c>
      <c r="O190" s="24" t="str">
        <f aca="false">IF(N190="","",ABS(N190))</f>
        <v/>
      </c>
    </row>
    <row r="191" customFormat="false" ht="15" hidden="false" customHeight="false" outlineLevel="0" collapsed="false">
      <c r="A191" s="43"/>
      <c r="B191" s="30"/>
      <c r="C191" s="30"/>
      <c r="D191" s="27"/>
      <c r="E191" s="41"/>
      <c r="F191" s="41"/>
      <c r="G191" s="41"/>
      <c r="H191" s="41"/>
      <c r="I191" s="41"/>
      <c r="J191" s="41"/>
      <c r="K191" s="30"/>
      <c r="L191" s="48" t="str">
        <f aca="false">IF(OR(F191="",I191=""),"",IF(F191&gt;=I191,"Yes","No"))</f>
        <v/>
      </c>
      <c r="M191" s="24" t="str">
        <f aca="false">IF(OR(F191="",I191="",I191=0),"",F191/I191-1)</f>
        <v/>
      </c>
      <c r="N191" s="24" t="str">
        <f aca="false">IF(OR(G191="",J191="",J191=0),"",G191/J191-1)</f>
        <v/>
      </c>
      <c r="O191" s="24" t="str">
        <f aca="false">IF(N191="","",ABS(N191))</f>
        <v/>
      </c>
    </row>
    <row r="192" customFormat="false" ht="15" hidden="false" customHeight="false" outlineLevel="0" collapsed="false">
      <c r="A192" s="43"/>
      <c r="B192" s="30"/>
      <c r="C192" s="30"/>
      <c r="D192" s="27"/>
      <c r="E192" s="41"/>
      <c r="F192" s="41"/>
      <c r="G192" s="41"/>
      <c r="H192" s="41"/>
      <c r="I192" s="41"/>
      <c r="J192" s="41"/>
      <c r="K192" s="30"/>
      <c r="L192" s="48" t="str">
        <f aca="false">IF(OR(F192="",I192=""),"",IF(F192&gt;=I192,"Yes","No"))</f>
        <v/>
      </c>
      <c r="M192" s="24" t="str">
        <f aca="false">IF(OR(F192="",I192="",I192=0),"",F192/I192-1)</f>
        <v/>
      </c>
      <c r="N192" s="24" t="str">
        <f aca="false">IF(OR(G192="",J192="",J192=0),"",G192/J192-1)</f>
        <v/>
      </c>
      <c r="O192" s="24" t="str">
        <f aca="false">IF(N192="","",ABS(N192))</f>
        <v/>
      </c>
    </row>
    <row r="193" customFormat="false" ht="15" hidden="false" customHeight="false" outlineLevel="0" collapsed="false">
      <c r="A193" s="43"/>
      <c r="B193" s="30"/>
      <c r="C193" s="30"/>
      <c r="D193" s="27"/>
      <c r="E193" s="41"/>
      <c r="F193" s="41"/>
      <c r="G193" s="41"/>
      <c r="H193" s="41"/>
      <c r="I193" s="41"/>
      <c r="J193" s="41"/>
      <c r="K193" s="30"/>
      <c r="L193" s="48" t="str">
        <f aca="false">IF(OR(F193="",I193=""),"",IF(F193&gt;=I193,"Yes","No"))</f>
        <v/>
      </c>
      <c r="M193" s="24" t="str">
        <f aca="false">IF(OR(F193="",I193="",I193=0),"",F193/I193-1)</f>
        <v/>
      </c>
      <c r="N193" s="24" t="str">
        <f aca="false">IF(OR(G193="",J193="",J193=0),"",G193/J193-1)</f>
        <v/>
      </c>
      <c r="O193" s="24" t="str">
        <f aca="false">IF(N193="","",ABS(N193))</f>
        <v/>
      </c>
    </row>
    <row r="194" customFormat="false" ht="15" hidden="false" customHeight="false" outlineLevel="0" collapsed="false">
      <c r="A194" s="43"/>
      <c r="B194" s="30"/>
      <c r="C194" s="30"/>
      <c r="D194" s="27"/>
      <c r="E194" s="41"/>
      <c r="F194" s="41"/>
      <c r="G194" s="41"/>
      <c r="H194" s="41"/>
      <c r="I194" s="41"/>
      <c r="J194" s="41"/>
      <c r="K194" s="30"/>
      <c r="L194" s="48" t="str">
        <f aca="false">IF(OR(F194="",I194=""),"",IF(F194&gt;=I194,"Yes","No"))</f>
        <v/>
      </c>
      <c r="M194" s="24" t="str">
        <f aca="false">IF(OR(F194="",I194="",I194=0),"",F194/I194-1)</f>
        <v/>
      </c>
      <c r="N194" s="24" t="str">
        <f aca="false">IF(OR(G194="",J194="",J194=0),"",G194/J194-1)</f>
        <v/>
      </c>
      <c r="O194" s="24" t="str">
        <f aca="false">IF(N194="","",ABS(N194))</f>
        <v/>
      </c>
    </row>
    <row r="195" customFormat="false" ht="15" hidden="false" customHeight="false" outlineLevel="0" collapsed="false">
      <c r="A195" s="43"/>
      <c r="B195" s="30"/>
      <c r="C195" s="30"/>
      <c r="D195" s="27"/>
      <c r="E195" s="41"/>
      <c r="F195" s="41"/>
      <c r="G195" s="41"/>
      <c r="H195" s="41"/>
      <c r="I195" s="41"/>
      <c r="J195" s="41"/>
      <c r="K195" s="30"/>
      <c r="L195" s="48" t="str">
        <f aca="false">IF(OR(F195="",I195=""),"",IF(F195&gt;=I195,"Yes","No"))</f>
        <v/>
      </c>
      <c r="M195" s="24" t="str">
        <f aca="false">IF(OR(F195="",I195="",I195=0),"",F195/I195-1)</f>
        <v/>
      </c>
      <c r="N195" s="24" t="str">
        <f aca="false">IF(OR(G195="",J195="",J195=0),"",G195/J195-1)</f>
        <v/>
      </c>
      <c r="O195" s="24" t="str">
        <f aca="false">IF(N195="","",ABS(N195))</f>
        <v/>
      </c>
    </row>
    <row r="196" customFormat="false" ht="15" hidden="false" customHeight="false" outlineLevel="0" collapsed="false">
      <c r="A196" s="43"/>
      <c r="B196" s="30"/>
      <c r="C196" s="30"/>
      <c r="D196" s="27"/>
      <c r="E196" s="41"/>
      <c r="F196" s="41"/>
      <c r="G196" s="41"/>
      <c r="H196" s="41"/>
      <c r="I196" s="41"/>
      <c r="J196" s="41"/>
      <c r="K196" s="30"/>
      <c r="L196" s="48" t="str">
        <f aca="false">IF(OR(F196="",I196=""),"",IF(F196&gt;=I196,"Yes","No"))</f>
        <v/>
      </c>
      <c r="M196" s="24" t="str">
        <f aca="false">IF(OR(F196="",I196="",I196=0),"",F196/I196-1)</f>
        <v/>
      </c>
      <c r="N196" s="24" t="str">
        <f aca="false">IF(OR(G196="",J196="",J196=0),"",G196/J196-1)</f>
        <v/>
      </c>
      <c r="O196" s="24" t="str">
        <f aca="false">IF(N196="","",ABS(N196))</f>
        <v/>
      </c>
    </row>
    <row r="197" customFormat="false" ht="15" hidden="false" customHeight="false" outlineLevel="0" collapsed="false">
      <c r="A197" s="43"/>
      <c r="B197" s="30"/>
      <c r="C197" s="30"/>
      <c r="D197" s="27"/>
      <c r="E197" s="41"/>
      <c r="F197" s="41"/>
      <c r="G197" s="41"/>
      <c r="H197" s="41"/>
      <c r="I197" s="41"/>
      <c r="J197" s="41"/>
      <c r="K197" s="30"/>
      <c r="L197" s="48" t="str">
        <f aca="false">IF(OR(F197="",I197=""),"",IF(F197&gt;=I197,"Yes","No"))</f>
        <v/>
      </c>
      <c r="M197" s="24" t="str">
        <f aca="false">IF(OR(F197="",I197="",I197=0),"",F197/I197-1)</f>
        <v/>
      </c>
      <c r="N197" s="24" t="str">
        <f aca="false">IF(OR(G197="",J197="",J197=0),"",G197/J197-1)</f>
        <v/>
      </c>
      <c r="O197" s="24" t="str">
        <f aca="false">IF(N197="","",ABS(N197))</f>
        <v/>
      </c>
    </row>
    <row r="198" customFormat="false" ht="15" hidden="false" customHeight="false" outlineLevel="0" collapsed="false">
      <c r="A198" s="43"/>
      <c r="B198" s="30"/>
      <c r="C198" s="30"/>
      <c r="D198" s="27"/>
      <c r="E198" s="41"/>
      <c r="F198" s="41"/>
      <c r="G198" s="41"/>
      <c r="H198" s="41"/>
      <c r="I198" s="41"/>
      <c r="J198" s="41"/>
      <c r="K198" s="30"/>
      <c r="L198" s="48" t="str">
        <f aca="false">IF(OR(F198="",I198=""),"",IF(F198&gt;=I198,"Yes","No"))</f>
        <v/>
      </c>
      <c r="M198" s="24" t="str">
        <f aca="false">IF(OR(F198="",I198="",I198=0),"",F198/I198-1)</f>
        <v/>
      </c>
      <c r="N198" s="24" t="str">
        <f aca="false">IF(OR(G198="",J198="",J198=0),"",G198/J198-1)</f>
        <v/>
      </c>
      <c r="O198" s="24" t="str">
        <f aca="false">IF(N198="","",ABS(N198))</f>
        <v/>
      </c>
    </row>
    <row r="199" customFormat="false" ht="15" hidden="false" customHeight="false" outlineLevel="0" collapsed="false">
      <c r="A199" s="43"/>
      <c r="B199" s="30"/>
      <c r="C199" s="30"/>
      <c r="D199" s="27"/>
      <c r="E199" s="41"/>
      <c r="F199" s="41"/>
      <c r="G199" s="41"/>
      <c r="H199" s="41"/>
      <c r="I199" s="41"/>
      <c r="J199" s="41"/>
      <c r="K199" s="30"/>
      <c r="L199" s="48" t="str">
        <f aca="false">IF(OR(F199="",I199=""),"",IF(F199&gt;=I199,"Yes","No"))</f>
        <v/>
      </c>
      <c r="M199" s="24" t="str">
        <f aca="false">IF(OR(F199="",I199="",I199=0),"",F199/I199-1)</f>
        <v/>
      </c>
      <c r="N199" s="24" t="str">
        <f aca="false">IF(OR(G199="",J199="",J199=0),"",G199/J199-1)</f>
        <v/>
      </c>
      <c r="O199" s="24" t="str">
        <f aca="false">IF(N199="","",ABS(N199))</f>
        <v/>
      </c>
    </row>
    <row r="200" customFormat="false" ht="15" hidden="false" customHeight="false" outlineLevel="0" collapsed="false">
      <c r="A200" s="43"/>
      <c r="B200" s="30"/>
      <c r="C200" s="30"/>
      <c r="D200" s="27"/>
      <c r="E200" s="41"/>
      <c r="F200" s="41"/>
      <c r="G200" s="41"/>
      <c r="H200" s="41"/>
      <c r="I200" s="41"/>
      <c r="J200" s="41"/>
      <c r="K200" s="30"/>
      <c r="L200" s="48" t="str">
        <f aca="false">IF(OR(F200="",I200=""),"",IF(F200&gt;=I200,"Yes","No"))</f>
        <v/>
      </c>
      <c r="M200" s="24" t="str">
        <f aca="false">IF(OR(F200="",I200="",I200=0),"",F200/I200-1)</f>
        <v/>
      </c>
      <c r="N200" s="24" t="str">
        <f aca="false">IF(OR(G200="",J200="",J200=0),"",G200/J200-1)</f>
        <v/>
      </c>
      <c r="O200" s="24" t="str">
        <f aca="false">IF(N200="","",ABS(N200))</f>
        <v/>
      </c>
    </row>
    <row r="201" customFormat="false" ht="15" hidden="false" customHeight="false" outlineLevel="0" collapsed="false">
      <c r="A201" s="43"/>
      <c r="B201" s="30"/>
      <c r="C201" s="30"/>
      <c r="D201" s="27"/>
      <c r="E201" s="41"/>
      <c r="F201" s="41"/>
      <c r="G201" s="41"/>
      <c r="H201" s="41"/>
      <c r="I201" s="41"/>
      <c r="J201" s="41"/>
      <c r="K201" s="30"/>
      <c r="L201" s="48" t="str">
        <f aca="false">IF(OR(F201="",I201=""),"",IF(F201&gt;=I201,"Yes","No"))</f>
        <v/>
      </c>
      <c r="M201" s="24" t="str">
        <f aca="false">IF(OR(F201="",I201="",I201=0),"",F201/I201-1)</f>
        <v/>
      </c>
      <c r="N201" s="24" t="str">
        <f aca="false">IF(OR(G201="",J201="",J201=0),"",G201/J201-1)</f>
        <v/>
      </c>
      <c r="O201" s="24" t="str">
        <f aca="false">IF(N201="","",ABS(N201))</f>
        <v/>
      </c>
    </row>
    <row r="202" customFormat="false" ht="15" hidden="false" customHeight="false" outlineLevel="0" collapsed="false">
      <c r="A202" s="43"/>
      <c r="B202" s="30"/>
      <c r="C202" s="30"/>
      <c r="D202" s="27"/>
      <c r="E202" s="41"/>
      <c r="F202" s="41"/>
      <c r="G202" s="41"/>
      <c r="H202" s="41"/>
      <c r="I202" s="41"/>
      <c r="J202" s="41"/>
      <c r="K202" s="30"/>
      <c r="L202" s="48" t="str">
        <f aca="false">IF(OR(F202="",I202=""),"",IF(F202&gt;=I202,"Yes","No"))</f>
        <v/>
      </c>
      <c r="M202" s="24" t="str">
        <f aca="false">IF(OR(F202="",I202="",I202=0),"",F202/I202-1)</f>
        <v/>
      </c>
      <c r="N202" s="24" t="str">
        <f aca="false">IF(OR(G202="",J202="",J202=0),"",G202/J202-1)</f>
        <v/>
      </c>
      <c r="O202" s="24" t="str">
        <f aca="false">IF(N202="","",ABS(N202))</f>
        <v/>
      </c>
    </row>
    <row r="203" customFormat="false" ht="15" hidden="false" customHeight="false" outlineLevel="0" collapsed="false">
      <c r="A203" s="43"/>
      <c r="B203" s="30"/>
      <c r="C203" s="30"/>
      <c r="D203" s="27"/>
      <c r="E203" s="41"/>
      <c r="F203" s="41"/>
      <c r="G203" s="41"/>
      <c r="H203" s="41"/>
      <c r="I203" s="41"/>
      <c r="J203" s="41"/>
      <c r="K203" s="30"/>
      <c r="L203" s="48" t="str">
        <f aca="false">IF(OR(F203="",I203=""),"",IF(F203&gt;=I203,"Yes","No"))</f>
        <v/>
      </c>
      <c r="M203" s="24" t="str">
        <f aca="false">IF(OR(F203="",I203="",I203=0),"",F203/I203-1)</f>
        <v/>
      </c>
      <c r="N203" s="24" t="str">
        <f aca="false">IF(OR(G203="",J203="",J203=0),"",G203/J203-1)</f>
        <v/>
      </c>
      <c r="O203" s="24" t="str">
        <f aca="false">IF(N203="","",ABS(N203))</f>
        <v/>
      </c>
    </row>
    <row r="204" customFormat="false" ht="15" hidden="false" customHeight="false" outlineLevel="0" collapsed="false">
      <c r="A204" s="43"/>
      <c r="B204" s="30"/>
      <c r="C204" s="30"/>
      <c r="D204" s="27"/>
      <c r="E204" s="41"/>
      <c r="F204" s="41"/>
      <c r="G204" s="41"/>
      <c r="H204" s="41"/>
      <c r="I204" s="41"/>
      <c r="J204" s="41"/>
      <c r="K204" s="30"/>
      <c r="L204" s="48" t="str">
        <f aca="false">IF(OR(F204="",I204=""),"",IF(F204&gt;=I204,"Yes","No"))</f>
        <v/>
      </c>
      <c r="M204" s="24" t="str">
        <f aca="false">IF(OR(F204="",I204="",I204=0),"",F204/I204-1)</f>
        <v/>
      </c>
      <c r="N204" s="24" t="str">
        <f aca="false">IF(OR(G204="",J204="",J204=0),"",G204/J204-1)</f>
        <v/>
      </c>
      <c r="O204" s="24" t="str">
        <f aca="false">IF(N204="","",ABS(N204))</f>
        <v/>
      </c>
    </row>
    <row r="205" customFormat="false" ht="15" hidden="false" customHeight="false" outlineLevel="0" collapsed="false">
      <c r="A205" s="43"/>
      <c r="B205" s="30"/>
      <c r="C205" s="30"/>
      <c r="D205" s="27"/>
      <c r="E205" s="41"/>
      <c r="F205" s="41"/>
      <c r="G205" s="41"/>
      <c r="H205" s="41"/>
      <c r="I205" s="41"/>
      <c r="J205" s="41"/>
      <c r="K205" s="30"/>
      <c r="L205" s="48" t="str">
        <f aca="false">IF(OR(F205="",I205=""),"",IF(F205&gt;=I205,"Yes","No"))</f>
        <v/>
      </c>
      <c r="M205" s="24" t="str">
        <f aca="false">IF(OR(F205="",I205="",I205=0),"",F205/I205-1)</f>
        <v/>
      </c>
      <c r="N205" s="24" t="str">
        <f aca="false">IF(OR(G205="",J205="",J205=0),"",G205/J205-1)</f>
        <v/>
      </c>
      <c r="O205" s="24" t="str">
        <f aca="false">IF(N205="","",ABS(N205))</f>
        <v/>
      </c>
    </row>
    <row r="206" customFormat="false" ht="15" hidden="false" customHeight="false" outlineLevel="0" collapsed="false">
      <c r="A206" s="43"/>
      <c r="B206" s="30"/>
      <c r="C206" s="30"/>
      <c r="D206" s="27"/>
      <c r="E206" s="41"/>
      <c r="F206" s="41"/>
      <c r="G206" s="41"/>
      <c r="H206" s="41"/>
      <c r="I206" s="41"/>
      <c r="J206" s="41"/>
      <c r="K206" s="30"/>
      <c r="L206" s="48" t="str">
        <f aca="false">IF(OR(F206="",I206=""),"",IF(F206&gt;=I206,"Yes","No"))</f>
        <v/>
      </c>
      <c r="M206" s="24" t="str">
        <f aca="false">IF(OR(F206="",I206="",I206=0),"",F206/I206-1)</f>
        <v/>
      </c>
      <c r="N206" s="24" t="str">
        <f aca="false">IF(OR(G206="",J206="",J206=0),"",G206/J206-1)</f>
        <v/>
      </c>
      <c r="O206" s="24" t="str">
        <f aca="false">IF(N206="","",ABS(N206))</f>
        <v/>
      </c>
    </row>
    <row r="207" customFormat="false" ht="15" hidden="false" customHeight="false" outlineLevel="0" collapsed="false">
      <c r="A207" s="43"/>
      <c r="B207" s="30"/>
      <c r="C207" s="30"/>
      <c r="D207" s="27"/>
      <c r="E207" s="41"/>
      <c r="F207" s="41"/>
      <c r="G207" s="41"/>
      <c r="H207" s="41"/>
      <c r="I207" s="41"/>
      <c r="J207" s="41"/>
      <c r="K207" s="30"/>
      <c r="L207" s="48" t="str">
        <f aca="false">IF(OR(F207="",I207=""),"",IF(F207&gt;=I207,"Yes","No"))</f>
        <v/>
      </c>
      <c r="M207" s="24" t="str">
        <f aca="false">IF(OR(F207="",I207="",I207=0),"",F207/I207-1)</f>
        <v/>
      </c>
      <c r="N207" s="24" t="str">
        <f aca="false">IF(OR(G207="",J207="",J207=0),"",G207/J207-1)</f>
        <v/>
      </c>
      <c r="O207" s="24" t="str">
        <f aca="false">IF(N207="","",ABS(N207))</f>
        <v/>
      </c>
    </row>
    <row r="208" customFormat="false" ht="15" hidden="false" customHeight="false" outlineLevel="0" collapsed="false">
      <c r="A208" s="43"/>
      <c r="B208" s="30"/>
      <c r="C208" s="30"/>
      <c r="D208" s="27"/>
      <c r="E208" s="41"/>
      <c r="F208" s="41"/>
      <c r="G208" s="41"/>
      <c r="H208" s="41"/>
      <c r="I208" s="41"/>
      <c r="J208" s="41"/>
      <c r="K208" s="30"/>
      <c r="L208" s="48" t="str">
        <f aca="false">IF(OR(F208="",I208=""),"",IF(F208&gt;=I208,"Yes","No"))</f>
        <v/>
      </c>
      <c r="M208" s="24" t="str">
        <f aca="false">IF(OR(F208="",I208="",I208=0),"",F208/I208-1)</f>
        <v/>
      </c>
      <c r="N208" s="24" t="str">
        <f aca="false">IF(OR(G208="",J208="",J208=0),"",G208/J208-1)</f>
        <v/>
      </c>
      <c r="O208" s="24" t="str">
        <f aca="false">IF(N208="","",ABS(N208))</f>
        <v/>
      </c>
    </row>
    <row r="209" customFormat="false" ht="15" hidden="false" customHeight="false" outlineLevel="0" collapsed="false">
      <c r="A209" s="43"/>
      <c r="B209" s="30"/>
      <c r="C209" s="30"/>
      <c r="D209" s="27"/>
      <c r="E209" s="41"/>
      <c r="F209" s="41"/>
      <c r="G209" s="41"/>
      <c r="H209" s="41"/>
      <c r="I209" s="41"/>
      <c r="J209" s="41"/>
      <c r="K209" s="30"/>
      <c r="L209" s="48" t="str">
        <f aca="false">IF(OR(F209="",I209=""),"",IF(F209&gt;=I209,"Yes","No"))</f>
        <v/>
      </c>
      <c r="M209" s="24" t="str">
        <f aca="false">IF(OR(F209="",I209="",I209=0),"",F209/I209-1)</f>
        <v/>
      </c>
      <c r="N209" s="24" t="str">
        <f aca="false">IF(OR(G209="",J209="",J209=0),"",G209/J209-1)</f>
        <v/>
      </c>
      <c r="O209" s="24" t="str">
        <f aca="false">IF(N209="","",ABS(N209))</f>
        <v/>
      </c>
    </row>
    <row r="210" customFormat="false" ht="15" hidden="false" customHeight="false" outlineLevel="0" collapsed="false">
      <c r="A210" s="43"/>
      <c r="B210" s="30"/>
      <c r="C210" s="30"/>
      <c r="D210" s="27"/>
      <c r="E210" s="41"/>
      <c r="F210" s="41"/>
      <c r="G210" s="41"/>
      <c r="H210" s="41"/>
      <c r="I210" s="41"/>
      <c r="J210" s="41"/>
      <c r="K210" s="30"/>
      <c r="L210" s="48" t="str">
        <f aca="false">IF(OR(F210="",I210=""),"",IF(F210&gt;=I210,"Yes","No"))</f>
        <v/>
      </c>
      <c r="M210" s="24" t="str">
        <f aca="false">IF(OR(F210="",I210="",I210=0),"",F210/I210-1)</f>
        <v/>
      </c>
      <c r="N210" s="24" t="str">
        <f aca="false">IF(OR(G210="",J210="",J210=0),"",G210/J210-1)</f>
        <v/>
      </c>
      <c r="O210" s="24" t="str">
        <f aca="false">IF(N210="","",ABS(N210))</f>
        <v/>
      </c>
    </row>
    <row r="211" customFormat="false" ht="15" hidden="false" customHeight="false" outlineLevel="0" collapsed="false">
      <c r="A211" s="43"/>
      <c r="B211" s="30"/>
      <c r="C211" s="30"/>
      <c r="D211" s="27"/>
      <c r="E211" s="41"/>
      <c r="F211" s="41"/>
      <c r="G211" s="41"/>
      <c r="H211" s="41"/>
      <c r="I211" s="41"/>
      <c r="J211" s="41"/>
      <c r="K211" s="30"/>
      <c r="L211" s="48" t="str">
        <f aca="false">IF(OR(F211="",I211=""),"",IF(F211&gt;=I211,"Yes","No"))</f>
        <v/>
      </c>
      <c r="M211" s="24" t="str">
        <f aca="false">IF(OR(F211="",I211="",I211=0),"",F211/I211-1)</f>
        <v/>
      </c>
      <c r="N211" s="24" t="str">
        <f aca="false">IF(OR(G211="",J211="",J211=0),"",G211/J211-1)</f>
        <v/>
      </c>
      <c r="O211" s="24" t="str">
        <f aca="false">IF(N211="","",ABS(N211))</f>
        <v/>
      </c>
    </row>
    <row r="212" customFormat="false" ht="15" hidden="false" customHeight="false" outlineLevel="0" collapsed="false">
      <c r="A212" s="43"/>
      <c r="B212" s="30"/>
      <c r="C212" s="30"/>
      <c r="D212" s="27"/>
      <c r="E212" s="41"/>
      <c r="F212" s="41"/>
      <c r="G212" s="41"/>
      <c r="H212" s="41"/>
      <c r="I212" s="41"/>
      <c r="J212" s="41"/>
      <c r="K212" s="30"/>
      <c r="L212" s="48" t="str">
        <f aca="false">IF(OR(F212="",I212=""),"",IF(F212&gt;=I212,"Yes","No"))</f>
        <v/>
      </c>
      <c r="M212" s="24" t="str">
        <f aca="false">IF(OR(F212="",I212="",I212=0),"",F212/I212-1)</f>
        <v/>
      </c>
      <c r="N212" s="24" t="str">
        <f aca="false">IF(OR(G212="",J212="",J212=0),"",G212/J212-1)</f>
        <v/>
      </c>
      <c r="O212" s="24" t="str">
        <f aca="false">IF(N212="","",ABS(N212))</f>
        <v/>
      </c>
    </row>
    <row r="213" customFormat="false" ht="15" hidden="false" customHeight="false" outlineLevel="0" collapsed="false">
      <c r="A213" s="43"/>
      <c r="B213" s="30"/>
      <c r="C213" s="30"/>
      <c r="D213" s="27"/>
      <c r="E213" s="41"/>
      <c r="F213" s="41"/>
      <c r="G213" s="41"/>
      <c r="H213" s="41"/>
      <c r="I213" s="41"/>
      <c r="J213" s="41"/>
      <c r="K213" s="30"/>
      <c r="L213" s="48" t="str">
        <f aca="false">IF(OR(F213="",I213=""),"",IF(F213&gt;=I213,"Yes","No"))</f>
        <v/>
      </c>
      <c r="M213" s="24" t="str">
        <f aca="false">IF(OR(F213="",I213="",I213=0),"",F213/I213-1)</f>
        <v/>
      </c>
      <c r="N213" s="24" t="str">
        <f aca="false">IF(OR(G213="",J213="",J213=0),"",G213/J213-1)</f>
        <v/>
      </c>
      <c r="O213" s="24" t="str">
        <f aca="false">IF(N213="","",ABS(N213))</f>
        <v/>
      </c>
    </row>
    <row r="214" customFormat="false" ht="15" hidden="false" customHeight="false" outlineLevel="0" collapsed="false">
      <c r="A214" s="43"/>
      <c r="B214" s="30"/>
      <c r="C214" s="30"/>
      <c r="D214" s="27"/>
      <c r="E214" s="41"/>
      <c r="F214" s="41"/>
      <c r="G214" s="41"/>
      <c r="H214" s="41"/>
      <c r="I214" s="41"/>
      <c r="J214" s="41"/>
      <c r="K214" s="30"/>
      <c r="L214" s="48" t="str">
        <f aca="false">IF(OR(F214="",I214=""),"",IF(F214&gt;=I214,"Yes","No"))</f>
        <v/>
      </c>
      <c r="M214" s="24" t="str">
        <f aca="false">IF(OR(F214="",I214="",I214=0),"",F214/I214-1)</f>
        <v/>
      </c>
      <c r="N214" s="24" t="str">
        <f aca="false">IF(OR(G214="",J214="",J214=0),"",G214/J214-1)</f>
        <v/>
      </c>
      <c r="O214" s="24" t="str">
        <f aca="false">IF(N214="","",ABS(N214))</f>
        <v/>
      </c>
    </row>
    <row r="215" customFormat="false" ht="15" hidden="false" customHeight="false" outlineLevel="0" collapsed="false">
      <c r="A215" s="43"/>
      <c r="B215" s="30"/>
      <c r="C215" s="30"/>
      <c r="D215" s="27"/>
      <c r="E215" s="41"/>
      <c r="F215" s="41"/>
      <c r="G215" s="41"/>
      <c r="H215" s="41"/>
      <c r="I215" s="41"/>
      <c r="J215" s="41"/>
      <c r="K215" s="30"/>
      <c r="L215" s="48" t="str">
        <f aca="false">IF(OR(F215="",I215=""),"",IF(F215&gt;=I215,"Yes","No"))</f>
        <v/>
      </c>
      <c r="M215" s="24" t="str">
        <f aca="false">IF(OR(F215="",I215="",I215=0),"",F215/I215-1)</f>
        <v/>
      </c>
      <c r="N215" s="24" t="str">
        <f aca="false">IF(OR(G215="",J215="",J215=0),"",G215/J215-1)</f>
        <v/>
      </c>
      <c r="O215" s="24" t="str">
        <f aca="false">IF(N215="","",ABS(N215))</f>
        <v/>
      </c>
    </row>
    <row r="216" customFormat="false" ht="15" hidden="false" customHeight="false" outlineLevel="0" collapsed="false">
      <c r="A216" s="43"/>
      <c r="B216" s="30"/>
      <c r="C216" s="30"/>
      <c r="D216" s="27"/>
      <c r="E216" s="41"/>
      <c r="F216" s="41"/>
      <c r="G216" s="41"/>
      <c r="H216" s="41"/>
      <c r="I216" s="41"/>
      <c r="J216" s="41"/>
      <c r="K216" s="30"/>
      <c r="L216" s="48" t="str">
        <f aca="false">IF(OR(F216="",I216=""),"",IF(F216&gt;=I216,"Yes","No"))</f>
        <v/>
      </c>
      <c r="M216" s="24" t="str">
        <f aca="false">IF(OR(F216="",I216="",I216=0),"",F216/I216-1)</f>
        <v/>
      </c>
      <c r="N216" s="24" t="str">
        <f aca="false">IF(OR(G216="",J216="",J216=0),"",G216/J216-1)</f>
        <v/>
      </c>
      <c r="O216" s="24" t="str">
        <f aca="false">IF(N216="","",ABS(N216))</f>
        <v/>
      </c>
    </row>
    <row r="217" customFormat="false" ht="15" hidden="false" customHeight="false" outlineLevel="0" collapsed="false">
      <c r="A217" s="43"/>
      <c r="B217" s="30"/>
      <c r="C217" s="30"/>
      <c r="D217" s="27"/>
      <c r="E217" s="41"/>
      <c r="F217" s="41"/>
      <c r="G217" s="41"/>
      <c r="H217" s="41"/>
      <c r="I217" s="41"/>
      <c r="J217" s="41"/>
      <c r="K217" s="30"/>
      <c r="L217" s="48" t="str">
        <f aca="false">IF(OR(F217="",I217=""),"",IF(F217&gt;=I217,"Yes","No"))</f>
        <v/>
      </c>
      <c r="M217" s="24" t="str">
        <f aca="false">IF(OR(F217="",I217="",I217=0),"",F217/I217-1)</f>
        <v/>
      </c>
      <c r="N217" s="24" t="str">
        <f aca="false">IF(OR(G217="",J217="",J217=0),"",G217/J217-1)</f>
        <v/>
      </c>
      <c r="O217" s="24" t="str">
        <f aca="false">IF(N217="","",ABS(N217))</f>
        <v/>
      </c>
    </row>
    <row r="218" customFormat="false" ht="15" hidden="false" customHeight="false" outlineLevel="0" collapsed="false">
      <c r="A218" s="43"/>
      <c r="B218" s="30"/>
      <c r="C218" s="30"/>
      <c r="D218" s="27"/>
      <c r="E218" s="41"/>
      <c r="F218" s="41"/>
      <c r="G218" s="41"/>
      <c r="H218" s="41"/>
      <c r="I218" s="41"/>
      <c r="J218" s="41"/>
      <c r="K218" s="30"/>
      <c r="L218" s="48" t="str">
        <f aca="false">IF(OR(F218="",I218=""),"",IF(F218&gt;=I218,"Yes","No"))</f>
        <v/>
      </c>
      <c r="M218" s="24" t="str">
        <f aca="false">IF(OR(F218="",I218="",I218=0),"",F218/I218-1)</f>
        <v/>
      </c>
      <c r="N218" s="24" t="str">
        <f aca="false">IF(OR(G218="",J218="",J218=0),"",G218/J218-1)</f>
        <v/>
      </c>
      <c r="O218" s="24" t="str">
        <f aca="false">IF(N218="","",ABS(N218))</f>
        <v/>
      </c>
    </row>
    <row r="219" customFormat="false" ht="15" hidden="false" customHeight="false" outlineLevel="0" collapsed="false">
      <c r="A219" s="43"/>
      <c r="B219" s="30"/>
      <c r="C219" s="30"/>
      <c r="D219" s="27"/>
      <c r="E219" s="41"/>
      <c r="F219" s="41"/>
      <c r="G219" s="41"/>
      <c r="H219" s="41"/>
      <c r="I219" s="41"/>
      <c r="J219" s="41"/>
      <c r="K219" s="30"/>
      <c r="L219" s="48" t="str">
        <f aca="false">IF(OR(F219="",I219=""),"",IF(F219&gt;=I219,"Yes","No"))</f>
        <v/>
      </c>
      <c r="M219" s="24" t="str">
        <f aca="false">IF(OR(F219="",I219="",I219=0),"",F219/I219-1)</f>
        <v/>
      </c>
      <c r="N219" s="24" t="str">
        <f aca="false">IF(OR(G219="",J219="",J219=0),"",G219/J219-1)</f>
        <v/>
      </c>
      <c r="O219" s="24" t="str">
        <f aca="false">IF(N219="","",ABS(N219))</f>
        <v/>
      </c>
    </row>
    <row r="220" customFormat="false" ht="15" hidden="false" customHeight="false" outlineLevel="0" collapsed="false">
      <c r="A220" s="43"/>
      <c r="B220" s="30"/>
      <c r="C220" s="30"/>
      <c r="D220" s="27"/>
      <c r="E220" s="41"/>
      <c r="F220" s="41"/>
      <c r="G220" s="41"/>
      <c r="H220" s="41"/>
      <c r="I220" s="41"/>
      <c r="J220" s="41"/>
      <c r="K220" s="30"/>
      <c r="L220" s="48" t="str">
        <f aca="false">IF(OR(F220="",I220=""),"",IF(F220&gt;=I220,"Yes","No"))</f>
        <v/>
      </c>
      <c r="M220" s="24" t="str">
        <f aca="false">IF(OR(F220="",I220="",I220=0),"",F220/I220-1)</f>
        <v/>
      </c>
      <c r="N220" s="24" t="str">
        <f aca="false">IF(OR(G220="",J220="",J220=0),"",G220/J220-1)</f>
        <v/>
      </c>
      <c r="O220" s="24" t="str">
        <f aca="false">IF(N220="","",ABS(N220))</f>
        <v/>
      </c>
    </row>
    <row r="221" customFormat="false" ht="15" hidden="false" customHeight="false" outlineLevel="0" collapsed="false">
      <c r="A221" s="43"/>
      <c r="B221" s="30"/>
      <c r="C221" s="30"/>
      <c r="D221" s="27"/>
      <c r="E221" s="41"/>
      <c r="F221" s="41"/>
      <c r="G221" s="41"/>
      <c r="H221" s="41"/>
      <c r="I221" s="41"/>
      <c r="J221" s="41"/>
      <c r="K221" s="30"/>
      <c r="L221" s="48" t="str">
        <f aca="false">IF(OR(F221="",I221=""),"",IF(F221&gt;=I221,"Yes","No"))</f>
        <v/>
      </c>
      <c r="M221" s="24" t="str">
        <f aca="false">IF(OR(F221="",I221="",I221=0),"",F221/I221-1)</f>
        <v/>
      </c>
      <c r="N221" s="24" t="str">
        <f aca="false">IF(OR(G221="",J221="",J221=0),"",G221/J221-1)</f>
        <v/>
      </c>
      <c r="O221" s="24" t="str">
        <f aca="false">IF(N221="","",ABS(N221))</f>
        <v/>
      </c>
    </row>
    <row r="222" customFormat="false" ht="15" hidden="false" customHeight="false" outlineLevel="0" collapsed="false">
      <c r="A222" s="43"/>
      <c r="B222" s="30"/>
      <c r="C222" s="30"/>
      <c r="D222" s="27"/>
      <c r="E222" s="41"/>
      <c r="F222" s="41"/>
      <c r="G222" s="41"/>
      <c r="H222" s="41"/>
      <c r="I222" s="41"/>
      <c r="J222" s="41"/>
      <c r="K222" s="30"/>
      <c r="L222" s="48" t="str">
        <f aca="false">IF(OR(F222="",I222=""),"",IF(F222&gt;=I222,"Yes","No"))</f>
        <v/>
      </c>
      <c r="M222" s="24" t="str">
        <f aca="false">IF(OR(F222="",I222="",I222=0),"",F222/I222-1)</f>
        <v/>
      </c>
      <c r="N222" s="24" t="str">
        <f aca="false">IF(OR(G222="",J222="",J222=0),"",G222/J222-1)</f>
        <v/>
      </c>
      <c r="O222" s="24" t="str">
        <f aca="false">IF(N222="","",ABS(N222))</f>
        <v/>
      </c>
    </row>
    <row r="223" customFormat="false" ht="15" hidden="false" customHeight="false" outlineLevel="0" collapsed="false">
      <c r="A223" s="43"/>
      <c r="B223" s="30"/>
      <c r="C223" s="30"/>
      <c r="D223" s="27"/>
      <c r="E223" s="41"/>
      <c r="F223" s="41"/>
      <c r="G223" s="41"/>
      <c r="H223" s="41"/>
      <c r="I223" s="41"/>
      <c r="J223" s="41"/>
      <c r="K223" s="30"/>
      <c r="L223" s="48" t="str">
        <f aca="false">IF(OR(F223="",I223=""),"",IF(F223&gt;=I223,"Yes","No"))</f>
        <v/>
      </c>
      <c r="M223" s="24" t="str">
        <f aca="false">IF(OR(F223="",I223="",I223=0),"",F223/I223-1)</f>
        <v/>
      </c>
      <c r="N223" s="24" t="str">
        <f aca="false">IF(OR(G223="",J223="",J223=0),"",G223/J223-1)</f>
        <v/>
      </c>
      <c r="O223" s="24" t="str">
        <f aca="false">IF(N223="","",ABS(N223))</f>
        <v/>
      </c>
    </row>
    <row r="224" customFormat="false" ht="15" hidden="false" customHeight="false" outlineLevel="0" collapsed="false">
      <c r="A224" s="43"/>
      <c r="B224" s="30"/>
      <c r="C224" s="30"/>
      <c r="D224" s="27"/>
      <c r="E224" s="41"/>
      <c r="F224" s="41"/>
      <c r="G224" s="41"/>
      <c r="H224" s="41"/>
      <c r="I224" s="41"/>
      <c r="J224" s="41"/>
      <c r="K224" s="30"/>
      <c r="L224" s="48" t="str">
        <f aca="false">IF(OR(F224="",I224=""),"",IF(F224&gt;=I224,"Yes","No"))</f>
        <v/>
      </c>
      <c r="M224" s="24" t="str">
        <f aca="false">IF(OR(F224="",I224="",I224=0),"",F224/I224-1)</f>
        <v/>
      </c>
      <c r="N224" s="24" t="str">
        <f aca="false">IF(OR(G224="",J224="",J224=0),"",G224/J224-1)</f>
        <v/>
      </c>
      <c r="O224" s="24" t="str">
        <f aca="false">IF(N224="","",ABS(N224))</f>
        <v/>
      </c>
    </row>
    <row r="225" customFormat="false" ht="15" hidden="false" customHeight="false" outlineLevel="0" collapsed="false">
      <c r="A225" s="43"/>
      <c r="B225" s="30"/>
      <c r="C225" s="30"/>
      <c r="D225" s="27"/>
      <c r="E225" s="41"/>
      <c r="F225" s="41"/>
      <c r="G225" s="41"/>
      <c r="H225" s="41"/>
      <c r="I225" s="41"/>
      <c r="J225" s="41"/>
      <c r="K225" s="30"/>
      <c r="L225" s="48" t="str">
        <f aca="false">IF(OR(F225="",I225=""),"",IF(F225&gt;=I225,"Yes","No"))</f>
        <v/>
      </c>
      <c r="M225" s="24" t="str">
        <f aca="false">IF(OR(F225="",I225="",I225=0),"",F225/I225-1)</f>
        <v/>
      </c>
      <c r="N225" s="24" t="str">
        <f aca="false">IF(OR(G225="",J225="",J225=0),"",G225/J225-1)</f>
        <v/>
      </c>
      <c r="O225" s="24" t="str">
        <f aca="false">IF(N225="","",ABS(N225))</f>
        <v/>
      </c>
    </row>
    <row r="226" customFormat="false" ht="15" hidden="false" customHeight="false" outlineLevel="0" collapsed="false">
      <c r="A226" s="43"/>
      <c r="B226" s="30"/>
      <c r="C226" s="30"/>
      <c r="D226" s="27"/>
      <c r="E226" s="41"/>
      <c r="F226" s="41"/>
      <c r="G226" s="41"/>
      <c r="H226" s="41"/>
      <c r="I226" s="41"/>
      <c r="J226" s="41"/>
      <c r="K226" s="30"/>
      <c r="L226" s="48" t="str">
        <f aca="false">IF(OR(F226="",I226=""),"",IF(F226&gt;=I226,"Yes","No"))</f>
        <v/>
      </c>
      <c r="M226" s="24" t="str">
        <f aca="false">IF(OR(F226="",I226="",I226=0),"",F226/I226-1)</f>
        <v/>
      </c>
      <c r="N226" s="24" t="str">
        <f aca="false">IF(OR(G226="",J226="",J226=0),"",G226/J226-1)</f>
        <v/>
      </c>
      <c r="O226" s="24" t="str">
        <f aca="false">IF(N226="","",ABS(N226))</f>
        <v/>
      </c>
    </row>
    <row r="227" customFormat="false" ht="15" hidden="false" customHeight="false" outlineLevel="0" collapsed="false">
      <c r="A227" s="43"/>
      <c r="B227" s="30"/>
      <c r="C227" s="30"/>
      <c r="D227" s="27"/>
      <c r="E227" s="41"/>
      <c r="F227" s="41"/>
      <c r="G227" s="41"/>
      <c r="H227" s="41"/>
      <c r="I227" s="41"/>
      <c r="J227" s="41"/>
      <c r="K227" s="30"/>
      <c r="L227" s="48" t="str">
        <f aca="false">IF(OR(F227="",I227=""),"",IF(F227&gt;=I227,"Yes","No"))</f>
        <v/>
      </c>
      <c r="M227" s="24" t="str">
        <f aca="false">IF(OR(F227="",I227="",I227=0),"",F227/I227-1)</f>
        <v/>
      </c>
      <c r="N227" s="24" t="str">
        <f aca="false">IF(OR(G227="",J227="",J227=0),"",G227/J227-1)</f>
        <v/>
      </c>
      <c r="O227" s="24" t="str">
        <f aca="false">IF(N227="","",ABS(N227))</f>
        <v/>
      </c>
    </row>
    <row r="228" customFormat="false" ht="15" hidden="false" customHeight="false" outlineLevel="0" collapsed="false">
      <c r="A228" s="43"/>
      <c r="B228" s="30"/>
      <c r="C228" s="30"/>
      <c r="D228" s="27"/>
      <c r="E228" s="41"/>
      <c r="F228" s="41"/>
      <c r="G228" s="41"/>
      <c r="H228" s="41"/>
      <c r="I228" s="41"/>
      <c r="J228" s="41"/>
      <c r="K228" s="30"/>
      <c r="L228" s="48" t="str">
        <f aca="false">IF(OR(F228="",I228=""),"",IF(F228&gt;=I228,"Yes","No"))</f>
        <v/>
      </c>
      <c r="M228" s="24" t="str">
        <f aca="false">IF(OR(F228="",I228="",I228=0),"",F228/I228-1)</f>
        <v/>
      </c>
      <c r="N228" s="24" t="str">
        <f aca="false">IF(OR(G228="",J228="",J228=0),"",G228/J228-1)</f>
        <v/>
      </c>
      <c r="O228" s="24" t="str">
        <f aca="false">IF(N228="","",ABS(N228))</f>
        <v/>
      </c>
    </row>
    <row r="229" customFormat="false" ht="15" hidden="false" customHeight="false" outlineLevel="0" collapsed="false">
      <c r="A229" s="43"/>
      <c r="B229" s="30"/>
      <c r="C229" s="30"/>
      <c r="D229" s="27"/>
      <c r="E229" s="41"/>
      <c r="F229" s="41"/>
      <c r="G229" s="41"/>
      <c r="H229" s="41"/>
      <c r="I229" s="41"/>
      <c r="J229" s="41"/>
      <c r="K229" s="30"/>
      <c r="L229" s="48" t="str">
        <f aca="false">IF(OR(F229="",I229=""),"",IF(F229&gt;=I229,"Yes","No"))</f>
        <v/>
      </c>
      <c r="M229" s="24" t="str">
        <f aca="false">IF(OR(F229="",I229="",I229=0),"",F229/I229-1)</f>
        <v/>
      </c>
      <c r="N229" s="24" t="str">
        <f aca="false">IF(OR(G229="",J229="",J229=0),"",G229/J229-1)</f>
        <v/>
      </c>
      <c r="O229" s="24" t="str">
        <f aca="false">IF(N229="","",ABS(N229))</f>
        <v/>
      </c>
    </row>
    <row r="230" customFormat="false" ht="15" hidden="false" customHeight="false" outlineLevel="0" collapsed="false">
      <c r="A230" s="43"/>
      <c r="B230" s="30"/>
      <c r="C230" s="30"/>
      <c r="D230" s="27"/>
      <c r="E230" s="41"/>
      <c r="F230" s="41"/>
      <c r="G230" s="41"/>
      <c r="H230" s="41"/>
      <c r="I230" s="41"/>
      <c r="J230" s="41"/>
      <c r="K230" s="30"/>
      <c r="L230" s="48" t="str">
        <f aca="false">IF(OR(F230="",I230=""),"",IF(F230&gt;=I230,"Yes","No"))</f>
        <v/>
      </c>
      <c r="M230" s="24" t="str">
        <f aca="false">IF(OR(F230="",I230="",I230=0),"",F230/I230-1)</f>
        <v/>
      </c>
      <c r="N230" s="24" t="str">
        <f aca="false">IF(OR(G230="",J230="",J230=0),"",G230/J230-1)</f>
        <v/>
      </c>
      <c r="O230" s="24" t="str">
        <f aca="false">IF(N230="","",ABS(N230))</f>
        <v/>
      </c>
    </row>
    <row r="231" customFormat="false" ht="15" hidden="false" customHeight="false" outlineLevel="0" collapsed="false">
      <c r="A231" s="43"/>
      <c r="B231" s="30"/>
      <c r="C231" s="30"/>
      <c r="D231" s="27"/>
      <c r="E231" s="41"/>
      <c r="F231" s="41"/>
      <c r="G231" s="41"/>
      <c r="H231" s="41"/>
      <c r="I231" s="41"/>
      <c r="J231" s="41"/>
      <c r="K231" s="30"/>
      <c r="L231" s="48" t="str">
        <f aca="false">IF(OR(F231="",I231=""),"",IF(F231&gt;=I231,"Yes","No"))</f>
        <v/>
      </c>
      <c r="M231" s="24" t="str">
        <f aca="false">IF(OR(F231="",I231="",I231=0),"",F231/I231-1)</f>
        <v/>
      </c>
      <c r="N231" s="24" t="str">
        <f aca="false">IF(OR(G231="",J231="",J231=0),"",G231/J231-1)</f>
        <v/>
      </c>
      <c r="O231" s="24" t="str">
        <f aca="false">IF(N231="","",ABS(N231))</f>
        <v/>
      </c>
    </row>
    <row r="232" customFormat="false" ht="15" hidden="false" customHeight="false" outlineLevel="0" collapsed="false">
      <c r="A232" s="43"/>
      <c r="B232" s="30"/>
      <c r="C232" s="30"/>
      <c r="D232" s="27"/>
      <c r="E232" s="41"/>
      <c r="F232" s="41"/>
      <c r="G232" s="41"/>
      <c r="H232" s="41"/>
      <c r="I232" s="41"/>
      <c r="J232" s="41"/>
      <c r="K232" s="30"/>
      <c r="L232" s="48" t="str">
        <f aca="false">IF(OR(F232="",I232=""),"",IF(F232&gt;=I232,"Yes","No"))</f>
        <v/>
      </c>
      <c r="M232" s="24" t="str">
        <f aca="false">IF(OR(F232="",I232="",I232=0),"",F232/I232-1)</f>
        <v/>
      </c>
      <c r="N232" s="24" t="str">
        <f aca="false">IF(OR(G232="",J232="",J232=0),"",G232/J232-1)</f>
        <v/>
      </c>
      <c r="O232" s="24" t="str">
        <f aca="false">IF(N232="","",ABS(N232))</f>
        <v/>
      </c>
    </row>
    <row r="233" customFormat="false" ht="15" hidden="false" customHeight="false" outlineLevel="0" collapsed="false">
      <c r="A233" s="43"/>
      <c r="B233" s="30"/>
      <c r="C233" s="30"/>
      <c r="D233" s="27"/>
      <c r="E233" s="41"/>
      <c r="F233" s="41"/>
      <c r="G233" s="41"/>
      <c r="H233" s="41"/>
      <c r="I233" s="41"/>
      <c r="J233" s="41"/>
      <c r="K233" s="30"/>
      <c r="L233" s="48" t="str">
        <f aca="false">IF(OR(F233="",I233=""),"",IF(F233&gt;=I233,"Yes","No"))</f>
        <v/>
      </c>
      <c r="M233" s="24" t="str">
        <f aca="false">IF(OR(F233="",I233="",I233=0),"",F233/I233-1)</f>
        <v/>
      </c>
      <c r="N233" s="24" t="str">
        <f aca="false">IF(OR(G233="",J233="",J233=0),"",G233/J233-1)</f>
        <v/>
      </c>
      <c r="O233" s="24" t="str">
        <f aca="false">IF(N233="","",ABS(N233))</f>
        <v/>
      </c>
    </row>
    <row r="234" customFormat="false" ht="15" hidden="false" customHeight="false" outlineLevel="0" collapsed="false">
      <c r="A234" s="43"/>
      <c r="B234" s="30"/>
      <c r="C234" s="30"/>
      <c r="D234" s="27"/>
      <c r="E234" s="41"/>
      <c r="F234" s="41"/>
      <c r="G234" s="41"/>
      <c r="H234" s="41"/>
      <c r="I234" s="41"/>
      <c r="J234" s="41"/>
      <c r="K234" s="30"/>
      <c r="L234" s="48" t="str">
        <f aca="false">IF(OR(F234="",I234=""),"",IF(F234&gt;=I234,"Yes","No"))</f>
        <v/>
      </c>
      <c r="M234" s="24" t="str">
        <f aca="false">IF(OR(F234="",I234="",I234=0),"",F234/I234-1)</f>
        <v/>
      </c>
      <c r="N234" s="24" t="str">
        <f aca="false">IF(OR(G234="",J234="",J234=0),"",G234/J234-1)</f>
        <v/>
      </c>
      <c r="O234" s="24" t="str">
        <f aca="false">IF(N234="","",ABS(N234))</f>
        <v/>
      </c>
    </row>
    <row r="235" customFormat="false" ht="15" hidden="false" customHeight="false" outlineLevel="0" collapsed="false">
      <c r="A235" s="43"/>
      <c r="B235" s="30"/>
      <c r="C235" s="30"/>
      <c r="D235" s="27"/>
      <c r="E235" s="41"/>
      <c r="F235" s="41"/>
      <c r="G235" s="41"/>
      <c r="H235" s="41"/>
      <c r="I235" s="41"/>
      <c r="J235" s="41"/>
      <c r="K235" s="30"/>
      <c r="L235" s="48" t="str">
        <f aca="false">IF(OR(F235="",I235=""),"",IF(F235&gt;=I235,"Yes","No"))</f>
        <v/>
      </c>
      <c r="M235" s="24" t="str">
        <f aca="false">IF(OR(F235="",I235="",I235=0),"",F235/I235-1)</f>
        <v/>
      </c>
      <c r="N235" s="24" t="str">
        <f aca="false">IF(OR(G235="",J235="",J235=0),"",G235/J235-1)</f>
        <v/>
      </c>
      <c r="O235" s="24" t="str">
        <f aca="false">IF(N235="","",ABS(N235))</f>
        <v/>
      </c>
    </row>
    <row r="236" customFormat="false" ht="15" hidden="false" customHeight="false" outlineLevel="0" collapsed="false">
      <c r="A236" s="43"/>
      <c r="B236" s="30"/>
      <c r="C236" s="30"/>
      <c r="D236" s="27"/>
      <c r="E236" s="41"/>
      <c r="F236" s="41"/>
      <c r="G236" s="41"/>
      <c r="H236" s="41"/>
      <c r="I236" s="41"/>
      <c r="J236" s="41"/>
      <c r="K236" s="30"/>
      <c r="L236" s="48" t="str">
        <f aca="false">IF(OR(F236="",I236=""),"",IF(F236&gt;=I236,"Yes","No"))</f>
        <v/>
      </c>
      <c r="M236" s="24" t="str">
        <f aca="false">IF(OR(F236="",I236="",I236=0),"",F236/I236-1)</f>
        <v/>
      </c>
      <c r="N236" s="24" t="str">
        <f aca="false">IF(OR(G236="",J236="",J236=0),"",G236/J236-1)</f>
        <v/>
      </c>
      <c r="O236" s="24" t="str">
        <f aca="false">IF(N236="","",ABS(N236))</f>
        <v/>
      </c>
    </row>
    <row r="237" customFormat="false" ht="15" hidden="false" customHeight="false" outlineLevel="0" collapsed="false">
      <c r="A237" s="43"/>
      <c r="B237" s="30"/>
      <c r="C237" s="30"/>
      <c r="D237" s="27"/>
      <c r="E237" s="41"/>
      <c r="F237" s="41"/>
      <c r="G237" s="41"/>
      <c r="H237" s="41"/>
      <c r="I237" s="41"/>
      <c r="J237" s="41"/>
      <c r="K237" s="30"/>
      <c r="L237" s="48" t="str">
        <f aca="false">IF(OR(F237="",I237=""),"",IF(F237&gt;=I237,"Yes","No"))</f>
        <v/>
      </c>
      <c r="M237" s="24" t="str">
        <f aca="false">IF(OR(F237="",I237="",I237=0),"",F237/I237-1)</f>
        <v/>
      </c>
      <c r="N237" s="24" t="str">
        <f aca="false">IF(OR(G237="",J237="",J237=0),"",G237/J237-1)</f>
        <v/>
      </c>
      <c r="O237" s="24" t="str">
        <f aca="false">IF(N237="","",ABS(N237))</f>
        <v/>
      </c>
    </row>
    <row r="238" customFormat="false" ht="15" hidden="false" customHeight="false" outlineLevel="0" collapsed="false">
      <c r="A238" s="43"/>
      <c r="B238" s="30"/>
      <c r="C238" s="30"/>
      <c r="D238" s="27"/>
      <c r="E238" s="41"/>
      <c r="F238" s="41"/>
      <c r="G238" s="41"/>
      <c r="H238" s="41"/>
      <c r="I238" s="41"/>
      <c r="J238" s="41"/>
      <c r="K238" s="30"/>
      <c r="L238" s="48" t="str">
        <f aca="false">IF(OR(F238="",I238=""),"",IF(F238&gt;=I238,"Yes","No"))</f>
        <v/>
      </c>
      <c r="M238" s="24" t="str">
        <f aca="false">IF(OR(F238="",I238="",I238=0),"",F238/I238-1)</f>
        <v/>
      </c>
      <c r="N238" s="24" t="str">
        <f aca="false">IF(OR(G238="",J238="",J238=0),"",G238/J238-1)</f>
        <v/>
      </c>
      <c r="O238" s="24" t="str">
        <f aca="false">IF(N238="","",ABS(N238))</f>
        <v/>
      </c>
    </row>
    <row r="239" customFormat="false" ht="15" hidden="false" customHeight="false" outlineLevel="0" collapsed="false">
      <c r="A239" s="43"/>
      <c r="B239" s="30"/>
      <c r="C239" s="30"/>
      <c r="D239" s="27"/>
      <c r="E239" s="41"/>
      <c r="F239" s="41"/>
      <c r="G239" s="41"/>
      <c r="H239" s="41"/>
      <c r="I239" s="41"/>
      <c r="J239" s="41"/>
      <c r="K239" s="30"/>
      <c r="L239" s="48" t="str">
        <f aca="false">IF(OR(F239="",I239=""),"",IF(F239&gt;=I239,"Yes","No"))</f>
        <v/>
      </c>
      <c r="M239" s="24" t="str">
        <f aca="false">IF(OR(F239="",I239="",I239=0),"",F239/I239-1)</f>
        <v/>
      </c>
      <c r="N239" s="24" t="str">
        <f aca="false">IF(OR(G239="",J239="",J239=0),"",G239/J239-1)</f>
        <v/>
      </c>
      <c r="O239" s="24" t="str">
        <f aca="false">IF(N239="","",ABS(N239))</f>
        <v/>
      </c>
    </row>
    <row r="240" customFormat="false" ht="15" hidden="false" customHeight="false" outlineLevel="0" collapsed="false">
      <c r="A240" s="43"/>
      <c r="B240" s="30"/>
      <c r="C240" s="30"/>
      <c r="D240" s="27"/>
      <c r="E240" s="41"/>
      <c r="F240" s="41"/>
      <c r="G240" s="41"/>
      <c r="H240" s="41"/>
      <c r="I240" s="41"/>
      <c r="J240" s="41"/>
      <c r="K240" s="30"/>
      <c r="L240" s="48" t="str">
        <f aca="false">IF(OR(F240="",I240=""),"",IF(F240&gt;=I240,"Yes","No"))</f>
        <v/>
      </c>
      <c r="M240" s="24" t="str">
        <f aca="false">IF(OR(F240="",I240="",I240=0),"",F240/I240-1)</f>
        <v/>
      </c>
      <c r="N240" s="24" t="str">
        <f aca="false">IF(OR(G240="",J240="",J240=0),"",G240/J240-1)</f>
        <v/>
      </c>
      <c r="O240" s="24" t="str">
        <f aca="false">IF(N240="","",ABS(N240))</f>
        <v/>
      </c>
    </row>
    <row r="241" customFormat="false" ht="15" hidden="false" customHeight="false" outlineLevel="0" collapsed="false">
      <c r="A241" s="43"/>
      <c r="B241" s="30"/>
      <c r="C241" s="30"/>
      <c r="D241" s="27"/>
      <c r="E241" s="41"/>
      <c r="F241" s="41"/>
      <c r="G241" s="41"/>
      <c r="H241" s="41"/>
      <c r="I241" s="41"/>
      <c r="J241" s="41"/>
      <c r="K241" s="30"/>
      <c r="L241" s="48" t="str">
        <f aca="false">IF(OR(F241="",I241=""),"",IF(F241&gt;=I241,"Yes","No"))</f>
        <v/>
      </c>
      <c r="M241" s="24" t="str">
        <f aca="false">IF(OR(F241="",I241="",I241=0),"",F241/I241-1)</f>
        <v/>
      </c>
      <c r="N241" s="24" t="str">
        <f aca="false">IF(OR(G241="",J241="",J241=0),"",G241/J241-1)</f>
        <v/>
      </c>
      <c r="O241" s="24" t="str">
        <f aca="false">IF(N241="","",ABS(N241))</f>
        <v/>
      </c>
    </row>
    <row r="242" customFormat="false" ht="15" hidden="false" customHeight="false" outlineLevel="0" collapsed="false">
      <c r="A242" s="43"/>
      <c r="B242" s="30"/>
      <c r="C242" s="30"/>
      <c r="D242" s="27"/>
      <c r="E242" s="41"/>
      <c r="F242" s="41"/>
      <c r="G242" s="41"/>
      <c r="H242" s="41"/>
      <c r="I242" s="41"/>
      <c r="J242" s="41"/>
      <c r="K242" s="30"/>
      <c r="L242" s="48" t="str">
        <f aca="false">IF(OR(F242="",I242=""),"",IF(F242&gt;=I242,"Yes","No"))</f>
        <v/>
      </c>
      <c r="M242" s="24" t="str">
        <f aca="false">IF(OR(F242="",I242="",I242=0),"",F242/I242-1)</f>
        <v/>
      </c>
      <c r="N242" s="24" t="str">
        <f aca="false">IF(OR(G242="",J242="",J242=0),"",G242/J242-1)</f>
        <v/>
      </c>
      <c r="O242" s="24" t="str">
        <f aca="false">IF(N242="","",ABS(N242))</f>
        <v/>
      </c>
    </row>
    <row r="243" customFormat="false" ht="15" hidden="false" customHeight="false" outlineLevel="0" collapsed="false">
      <c r="A243" s="43"/>
      <c r="B243" s="30"/>
      <c r="C243" s="30"/>
      <c r="D243" s="27"/>
      <c r="E243" s="41"/>
      <c r="F243" s="41"/>
      <c r="G243" s="41"/>
      <c r="H243" s="41"/>
      <c r="I243" s="41"/>
      <c r="J243" s="41"/>
      <c r="K243" s="30"/>
      <c r="L243" s="48" t="str">
        <f aca="false">IF(OR(F243="",I243=""),"",IF(F243&gt;=I243,"Yes","No"))</f>
        <v/>
      </c>
      <c r="M243" s="24" t="str">
        <f aca="false">IF(OR(F243="",I243="",I243=0),"",F243/I243-1)</f>
        <v/>
      </c>
      <c r="N243" s="24" t="str">
        <f aca="false">IF(OR(G243="",J243="",J243=0),"",G243/J243-1)</f>
        <v/>
      </c>
      <c r="O243" s="24" t="str">
        <f aca="false">IF(N243="","",ABS(N243))</f>
        <v/>
      </c>
    </row>
    <row r="244" customFormat="false" ht="15" hidden="false" customHeight="false" outlineLevel="0" collapsed="false">
      <c r="A244" s="43"/>
      <c r="B244" s="30"/>
      <c r="C244" s="30"/>
      <c r="D244" s="27"/>
      <c r="E244" s="41"/>
      <c r="F244" s="41"/>
      <c r="G244" s="41"/>
      <c r="H244" s="41"/>
      <c r="I244" s="41"/>
      <c r="J244" s="41"/>
      <c r="K244" s="30"/>
      <c r="L244" s="48" t="str">
        <f aca="false">IF(OR(F244="",I244=""),"",IF(F244&gt;=I244,"Yes","No"))</f>
        <v/>
      </c>
      <c r="M244" s="24" t="str">
        <f aca="false">IF(OR(F244="",I244="",I244=0),"",F244/I244-1)</f>
        <v/>
      </c>
      <c r="N244" s="24" t="str">
        <f aca="false">IF(OR(G244="",J244="",J244=0),"",G244/J244-1)</f>
        <v/>
      </c>
      <c r="O244" s="24" t="str">
        <f aca="false">IF(N244="","",ABS(N244))</f>
        <v/>
      </c>
    </row>
    <row r="245" customFormat="false" ht="15" hidden="false" customHeight="false" outlineLevel="0" collapsed="false">
      <c r="A245" s="43"/>
      <c r="B245" s="30"/>
      <c r="C245" s="30"/>
      <c r="D245" s="27"/>
      <c r="E245" s="41"/>
      <c r="F245" s="41"/>
      <c r="G245" s="41"/>
      <c r="H245" s="41"/>
      <c r="I245" s="41"/>
      <c r="J245" s="41"/>
      <c r="K245" s="30"/>
      <c r="L245" s="48" t="str">
        <f aca="false">IF(OR(F245="",I245=""),"",IF(F245&gt;=I245,"Yes","No"))</f>
        <v/>
      </c>
      <c r="M245" s="24" t="str">
        <f aca="false">IF(OR(F245="",I245="",I245=0),"",F245/I245-1)</f>
        <v/>
      </c>
      <c r="N245" s="24" t="str">
        <f aca="false">IF(OR(G245="",J245="",J245=0),"",G245/J245-1)</f>
        <v/>
      </c>
      <c r="O245" s="24" t="str">
        <f aca="false">IF(N245="","",ABS(N245))</f>
        <v/>
      </c>
    </row>
    <row r="246" customFormat="false" ht="15" hidden="false" customHeight="false" outlineLevel="0" collapsed="false">
      <c r="A246" s="43"/>
      <c r="B246" s="30"/>
      <c r="C246" s="30"/>
      <c r="D246" s="27"/>
      <c r="E246" s="41"/>
      <c r="F246" s="41"/>
      <c r="G246" s="41"/>
      <c r="H246" s="41"/>
      <c r="I246" s="41"/>
      <c r="J246" s="41"/>
      <c r="K246" s="30"/>
      <c r="L246" s="48" t="str">
        <f aca="false">IF(OR(F246="",I246=""),"",IF(F246&gt;=I246,"Yes","No"))</f>
        <v/>
      </c>
      <c r="M246" s="24" t="str">
        <f aca="false">IF(OR(F246="",I246="",I246=0),"",F246/I246-1)</f>
        <v/>
      </c>
      <c r="N246" s="24" t="str">
        <f aca="false">IF(OR(G246="",J246="",J246=0),"",G246/J246-1)</f>
        <v/>
      </c>
      <c r="O246" s="24" t="str">
        <f aca="false">IF(N246="","",ABS(N246))</f>
        <v/>
      </c>
    </row>
    <row r="247" customFormat="false" ht="15" hidden="false" customHeight="false" outlineLevel="0" collapsed="false">
      <c r="A247" s="43"/>
      <c r="B247" s="30"/>
      <c r="C247" s="30"/>
      <c r="D247" s="27"/>
      <c r="E247" s="41"/>
      <c r="F247" s="41"/>
      <c r="G247" s="41"/>
      <c r="H247" s="41"/>
      <c r="I247" s="41"/>
      <c r="J247" s="41"/>
      <c r="K247" s="30"/>
      <c r="L247" s="48" t="str">
        <f aca="false">IF(OR(F247="",I247=""),"",IF(F247&gt;=I247,"Yes","No"))</f>
        <v/>
      </c>
      <c r="M247" s="24" t="str">
        <f aca="false">IF(OR(F247="",I247="",I247=0),"",F247/I247-1)</f>
        <v/>
      </c>
      <c r="N247" s="24" t="str">
        <f aca="false">IF(OR(G247="",J247="",J247=0),"",G247/J247-1)</f>
        <v/>
      </c>
      <c r="O247" s="24" t="str">
        <f aca="false">IF(N247="","",ABS(N247))</f>
        <v/>
      </c>
    </row>
    <row r="248" customFormat="false" ht="15" hidden="false" customHeight="false" outlineLevel="0" collapsed="false">
      <c r="A248" s="43"/>
      <c r="B248" s="30"/>
      <c r="C248" s="30"/>
      <c r="D248" s="27"/>
      <c r="E248" s="41"/>
      <c r="F248" s="41"/>
      <c r="G248" s="41"/>
      <c r="H248" s="41"/>
      <c r="I248" s="41"/>
      <c r="J248" s="41"/>
      <c r="K248" s="30"/>
      <c r="L248" s="48" t="str">
        <f aca="false">IF(OR(F248="",I248=""),"",IF(F248&gt;=I248,"Yes","No"))</f>
        <v/>
      </c>
      <c r="M248" s="24" t="str">
        <f aca="false">IF(OR(F248="",I248="",I248=0),"",F248/I248-1)</f>
        <v/>
      </c>
      <c r="N248" s="24" t="str">
        <f aca="false">IF(OR(G248="",J248="",J248=0),"",G248/J248-1)</f>
        <v/>
      </c>
      <c r="O248" s="24" t="str">
        <f aca="false">IF(N248="","",ABS(N248))</f>
        <v/>
      </c>
    </row>
    <row r="249" customFormat="false" ht="15" hidden="false" customHeight="false" outlineLevel="0" collapsed="false">
      <c r="A249" s="43"/>
      <c r="B249" s="30"/>
      <c r="C249" s="30"/>
      <c r="D249" s="27"/>
      <c r="E249" s="41"/>
      <c r="F249" s="41"/>
      <c r="G249" s="41"/>
      <c r="H249" s="41"/>
      <c r="I249" s="41"/>
      <c r="J249" s="41"/>
      <c r="K249" s="30"/>
      <c r="L249" s="48" t="str">
        <f aca="false">IF(OR(F249="",I249=""),"",IF(F249&gt;=I249,"Yes","No"))</f>
        <v/>
      </c>
      <c r="M249" s="24" t="str">
        <f aca="false">IF(OR(F249="",I249="",I249=0),"",F249/I249-1)</f>
        <v/>
      </c>
      <c r="N249" s="24" t="str">
        <f aca="false">IF(OR(G249="",J249="",J249=0),"",G249/J249-1)</f>
        <v/>
      </c>
      <c r="O249" s="24" t="str">
        <f aca="false">IF(N249="","",ABS(N249))</f>
        <v/>
      </c>
    </row>
    <row r="250" customFormat="false" ht="15" hidden="false" customHeight="false" outlineLevel="0" collapsed="false">
      <c r="A250" s="43"/>
      <c r="B250" s="30"/>
      <c r="C250" s="30"/>
      <c r="D250" s="27"/>
      <c r="E250" s="41"/>
      <c r="F250" s="41"/>
      <c r="G250" s="41"/>
      <c r="H250" s="41"/>
      <c r="I250" s="41"/>
      <c r="J250" s="41"/>
      <c r="K250" s="30"/>
      <c r="L250" s="48" t="str">
        <f aca="false">IF(OR(F250="",I250=""),"",IF(F250&gt;=I250,"Yes","No"))</f>
        <v/>
      </c>
      <c r="M250" s="24" t="str">
        <f aca="false">IF(OR(F250="",I250="",I250=0),"",F250/I250-1)</f>
        <v/>
      </c>
      <c r="N250" s="24" t="str">
        <f aca="false">IF(OR(G250="",J250="",J250=0),"",G250/J250-1)</f>
        <v/>
      </c>
      <c r="O250" s="24" t="str">
        <f aca="false">IF(N250="","",ABS(N250))</f>
        <v/>
      </c>
    </row>
    <row r="251" customFormat="false" ht="15" hidden="false" customHeight="false" outlineLevel="0" collapsed="false">
      <c r="A251" s="43"/>
      <c r="B251" s="30"/>
      <c r="C251" s="30"/>
      <c r="D251" s="27"/>
      <c r="E251" s="41"/>
      <c r="F251" s="41"/>
      <c r="G251" s="41"/>
      <c r="H251" s="41"/>
      <c r="I251" s="41"/>
      <c r="J251" s="41"/>
      <c r="K251" s="30"/>
      <c r="L251" s="48" t="str">
        <f aca="false">IF(OR(F251="",I251=""),"",IF(F251&gt;=I251,"Yes","No"))</f>
        <v/>
      </c>
      <c r="M251" s="24" t="str">
        <f aca="false">IF(OR(F251="",I251="",I251=0),"",F251/I251-1)</f>
        <v/>
      </c>
      <c r="N251" s="24" t="str">
        <f aca="false">IF(OR(G251="",J251="",J251=0),"",G251/J251-1)</f>
        <v/>
      </c>
      <c r="O251" s="24" t="str">
        <f aca="false">IF(N251="","",ABS(N251))</f>
        <v/>
      </c>
    </row>
    <row r="252" customFormat="false" ht="15" hidden="false" customHeight="false" outlineLevel="0" collapsed="false">
      <c r="A252" s="43"/>
      <c r="B252" s="30"/>
      <c r="C252" s="30"/>
      <c r="D252" s="27"/>
      <c r="E252" s="41"/>
      <c r="F252" s="41"/>
      <c r="G252" s="41"/>
      <c r="H252" s="41"/>
      <c r="I252" s="41"/>
      <c r="J252" s="41"/>
      <c r="K252" s="30"/>
      <c r="L252" s="48" t="str">
        <f aca="false">IF(OR(F252="",I252=""),"",IF(F252&gt;=I252,"Yes","No"))</f>
        <v/>
      </c>
      <c r="M252" s="24" t="str">
        <f aca="false">IF(OR(F252="",I252="",I252=0),"",F252/I252-1)</f>
        <v/>
      </c>
      <c r="N252" s="24" t="str">
        <f aca="false">IF(OR(G252="",J252="",J252=0),"",G252/J252-1)</f>
        <v/>
      </c>
      <c r="O252" s="24" t="str">
        <f aca="false">IF(N252="","",ABS(N252))</f>
        <v/>
      </c>
    </row>
    <row r="253" customFormat="false" ht="15" hidden="false" customHeight="false" outlineLevel="0" collapsed="false">
      <c r="A253" s="43"/>
      <c r="B253" s="30"/>
      <c r="C253" s="30"/>
      <c r="D253" s="27"/>
      <c r="E253" s="41"/>
      <c r="F253" s="41"/>
      <c r="G253" s="41"/>
      <c r="H253" s="41"/>
      <c r="I253" s="41"/>
      <c r="J253" s="41"/>
      <c r="K253" s="30"/>
      <c r="L253" s="48" t="str">
        <f aca="false">IF(OR(F253="",I253=""),"",IF(F253&gt;=I253,"Yes","No"))</f>
        <v/>
      </c>
      <c r="M253" s="24" t="str">
        <f aca="false">IF(OR(F253="",I253="",I253=0),"",F253/I253-1)</f>
        <v/>
      </c>
      <c r="N253" s="24" t="str">
        <f aca="false">IF(OR(G253="",J253="",J253=0),"",G253/J253-1)</f>
        <v/>
      </c>
      <c r="O253" s="24" t="str">
        <f aca="false">IF(N253="","",ABS(N253))</f>
        <v/>
      </c>
    </row>
    <row r="254" customFormat="false" ht="15" hidden="false" customHeight="false" outlineLevel="0" collapsed="false">
      <c r="A254" s="43"/>
      <c r="B254" s="30"/>
      <c r="C254" s="30"/>
      <c r="D254" s="27"/>
      <c r="E254" s="41"/>
      <c r="F254" s="41"/>
      <c r="G254" s="41"/>
      <c r="H254" s="41"/>
      <c r="I254" s="41"/>
      <c r="J254" s="41"/>
      <c r="K254" s="30"/>
      <c r="L254" s="48" t="str">
        <f aca="false">IF(OR(F254="",I254=""),"",IF(F254&gt;=I254,"Yes","No"))</f>
        <v/>
      </c>
      <c r="M254" s="24" t="str">
        <f aca="false">IF(OR(F254="",I254="",I254=0),"",F254/I254-1)</f>
        <v/>
      </c>
      <c r="N254" s="24" t="str">
        <f aca="false">IF(OR(G254="",J254="",J254=0),"",G254/J254-1)</f>
        <v/>
      </c>
      <c r="O254" s="24" t="str">
        <f aca="false">IF(N254="","",ABS(N254))</f>
        <v/>
      </c>
    </row>
    <row r="255" customFormat="false" ht="15" hidden="false" customHeight="false" outlineLevel="0" collapsed="false">
      <c r="A255" s="43"/>
      <c r="B255" s="30"/>
      <c r="C255" s="30"/>
      <c r="D255" s="27"/>
      <c r="E255" s="41"/>
      <c r="F255" s="41"/>
      <c r="G255" s="41"/>
      <c r="H255" s="41"/>
      <c r="I255" s="41"/>
      <c r="J255" s="41"/>
      <c r="K255" s="30"/>
      <c r="L255" s="48" t="str">
        <f aca="false">IF(OR(F255="",I255=""),"",IF(F255&gt;=I255,"Yes","No"))</f>
        <v/>
      </c>
      <c r="M255" s="24" t="str">
        <f aca="false">IF(OR(F255="",I255="",I255=0),"",F255/I255-1)</f>
        <v/>
      </c>
      <c r="N255" s="24" t="str">
        <f aca="false">IF(OR(G255="",J255="",J255=0),"",G255/J255-1)</f>
        <v/>
      </c>
      <c r="O255" s="24" t="str">
        <f aca="false">IF(N255="","",ABS(N255))</f>
        <v/>
      </c>
    </row>
    <row r="256" customFormat="false" ht="15" hidden="false" customHeight="false" outlineLevel="0" collapsed="false">
      <c r="A256" s="43"/>
      <c r="B256" s="30"/>
      <c r="C256" s="30"/>
      <c r="D256" s="27"/>
      <c r="E256" s="41"/>
      <c r="F256" s="41"/>
      <c r="G256" s="41"/>
      <c r="H256" s="41"/>
      <c r="I256" s="41"/>
      <c r="J256" s="41"/>
      <c r="K256" s="30"/>
      <c r="L256" s="48" t="str">
        <f aca="false">IF(OR(F256="",I256=""),"",IF(F256&gt;=I256,"Yes","No"))</f>
        <v/>
      </c>
      <c r="M256" s="24" t="str">
        <f aca="false">IF(OR(F256="",I256="",I256=0),"",F256/I256-1)</f>
        <v/>
      </c>
      <c r="N256" s="24" t="str">
        <f aca="false">IF(OR(G256="",J256="",J256=0),"",G256/J256-1)</f>
        <v/>
      </c>
      <c r="O256" s="24" t="str">
        <f aca="false">IF(N256="","",ABS(N256))</f>
        <v/>
      </c>
    </row>
    <row r="257" customFormat="false" ht="15" hidden="false" customHeight="false" outlineLevel="0" collapsed="false">
      <c r="A257" s="43"/>
      <c r="B257" s="30"/>
      <c r="C257" s="30"/>
      <c r="D257" s="27"/>
      <c r="E257" s="41"/>
      <c r="F257" s="41"/>
      <c r="G257" s="41"/>
      <c r="H257" s="41"/>
      <c r="I257" s="41"/>
      <c r="J257" s="41"/>
      <c r="K257" s="30"/>
      <c r="L257" s="48" t="str">
        <f aca="false">IF(OR(F257="",I257=""),"",IF(F257&gt;=I257,"Yes","No"))</f>
        <v/>
      </c>
      <c r="M257" s="24" t="str">
        <f aca="false">IF(OR(F257="",I257="",I257=0),"",F257/I257-1)</f>
        <v/>
      </c>
      <c r="N257" s="24" t="str">
        <f aca="false">IF(OR(G257="",J257="",J257=0),"",G257/J257-1)</f>
        <v/>
      </c>
      <c r="O257" s="24" t="str">
        <f aca="false">IF(N257="","",ABS(N257))</f>
        <v/>
      </c>
    </row>
    <row r="258" customFormat="false" ht="15" hidden="false" customHeight="false" outlineLevel="0" collapsed="false">
      <c r="A258" s="43"/>
      <c r="B258" s="30"/>
      <c r="C258" s="30"/>
      <c r="D258" s="27"/>
      <c r="E258" s="41"/>
      <c r="F258" s="41"/>
      <c r="G258" s="41"/>
      <c r="H258" s="41"/>
      <c r="I258" s="41"/>
      <c r="J258" s="41"/>
      <c r="K258" s="30"/>
      <c r="L258" s="48" t="str">
        <f aca="false">IF(OR(F258="",I258=""),"",IF(F258&gt;=I258,"Yes","No"))</f>
        <v/>
      </c>
      <c r="M258" s="24" t="str">
        <f aca="false">IF(OR(F258="",I258="",I258=0),"",F258/I258-1)</f>
        <v/>
      </c>
      <c r="N258" s="24" t="str">
        <f aca="false">IF(OR(G258="",J258="",J258=0),"",G258/J258-1)</f>
        <v/>
      </c>
      <c r="O258" s="24" t="str">
        <f aca="false">IF(N258="","",ABS(N258))</f>
        <v/>
      </c>
    </row>
    <row r="259" customFormat="false" ht="15" hidden="false" customHeight="false" outlineLevel="0" collapsed="false">
      <c r="A259" s="43"/>
      <c r="B259" s="30"/>
      <c r="C259" s="30"/>
      <c r="D259" s="27"/>
      <c r="E259" s="41"/>
      <c r="F259" s="41"/>
      <c r="G259" s="41"/>
      <c r="H259" s="41"/>
      <c r="I259" s="41"/>
      <c r="J259" s="41"/>
      <c r="K259" s="30"/>
      <c r="L259" s="48" t="str">
        <f aca="false">IF(OR(F259="",I259=""),"",IF(F259&gt;=I259,"Yes","No"))</f>
        <v/>
      </c>
      <c r="M259" s="24" t="str">
        <f aca="false">IF(OR(F259="",I259="",I259=0),"",F259/I259-1)</f>
        <v/>
      </c>
      <c r="N259" s="24" t="str">
        <f aca="false">IF(OR(G259="",J259="",J259=0),"",G259/J259-1)</f>
        <v/>
      </c>
      <c r="O259" s="24" t="str">
        <f aca="false">IF(N259="","",ABS(N259))</f>
        <v/>
      </c>
    </row>
    <row r="260" customFormat="false" ht="15" hidden="false" customHeight="false" outlineLevel="0" collapsed="false">
      <c r="A260" s="43"/>
      <c r="B260" s="30"/>
      <c r="C260" s="30"/>
      <c r="D260" s="27"/>
      <c r="E260" s="41"/>
      <c r="F260" s="41"/>
      <c r="G260" s="41"/>
      <c r="H260" s="41"/>
      <c r="I260" s="41"/>
      <c r="J260" s="41"/>
      <c r="K260" s="30"/>
      <c r="L260" s="48" t="str">
        <f aca="false">IF(OR(F260="",I260=""),"",IF(F260&gt;=I260,"Yes","No"))</f>
        <v/>
      </c>
      <c r="M260" s="24" t="str">
        <f aca="false">IF(OR(F260="",I260="",I260=0),"",F260/I260-1)</f>
        <v/>
      </c>
      <c r="N260" s="24" t="str">
        <f aca="false">IF(OR(G260="",J260="",J260=0),"",G260/J260-1)</f>
        <v/>
      </c>
      <c r="O260" s="24" t="str">
        <f aca="false">IF(N260="","",ABS(N260))</f>
        <v/>
      </c>
    </row>
    <row r="261" customFormat="false" ht="15" hidden="false" customHeight="false" outlineLevel="0" collapsed="false">
      <c r="A261" s="43"/>
      <c r="B261" s="30"/>
      <c r="C261" s="30"/>
      <c r="D261" s="27"/>
      <c r="E261" s="41"/>
      <c r="F261" s="41"/>
      <c r="G261" s="41"/>
      <c r="H261" s="41"/>
      <c r="I261" s="41"/>
      <c r="J261" s="41"/>
      <c r="K261" s="30"/>
      <c r="L261" s="48" t="str">
        <f aca="false">IF(OR(F261="",I261=""),"",IF(F261&gt;=I261,"Yes","No"))</f>
        <v/>
      </c>
      <c r="M261" s="24" t="str">
        <f aca="false">IF(OR(F261="",I261="",I261=0),"",F261/I261-1)</f>
        <v/>
      </c>
      <c r="N261" s="24" t="str">
        <f aca="false">IF(OR(G261="",J261="",J261=0),"",G261/J261-1)</f>
        <v/>
      </c>
      <c r="O261" s="24" t="str">
        <f aca="false">IF(N261="","",ABS(N261))</f>
        <v/>
      </c>
    </row>
    <row r="262" customFormat="false" ht="15" hidden="false" customHeight="false" outlineLevel="0" collapsed="false">
      <c r="A262" s="43"/>
      <c r="B262" s="30"/>
      <c r="C262" s="30"/>
      <c r="D262" s="27"/>
      <c r="E262" s="41"/>
      <c r="F262" s="41"/>
      <c r="G262" s="41"/>
      <c r="H262" s="41"/>
      <c r="I262" s="41"/>
      <c r="J262" s="41"/>
      <c r="K262" s="30"/>
      <c r="L262" s="48" t="str">
        <f aca="false">IF(OR(F262="",I262=""),"",IF(F262&gt;=I262,"Yes","No"))</f>
        <v/>
      </c>
      <c r="M262" s="24" t="str">
        <f aca="false">IF(OR(F262="",I262="",I262=0),"",F262/I262-1)</f>
        <v/>
      </c>
      <c r="N262" s="24" t="str">
        <f aca="false">IF(OR(G262="",J262="",J262=0),"",G262/J262-1)</f>
        <v/>
      </c>
      <c r="O262" s="24" t="str">
        <f aca="false">IF(N262="","",ABS(N262))</f>
        <v/>
      </c>
    </row>
    <row r="263" customFormat="false" ht="15" hidden="false" customHeight="false" outlineLevel="0" collapsed="false">
      <c r="A263" s="43"/>
      <c r="B263" s="30"/>
      <c r="C263" s="30"/>
      <c r="D263" s="27"/>
      <c r="E263" s="41"/>
      <c r="F263" s="41"/>
      <c r="G263" s="41"/>
      <c r="H263" s="41"/>
      <c r="I263" s="41"/>
      <c r="J263" s="41"/>
      <c r="K263" s="30"/>
      <c r="L263" s="48" t="str">
        <f aca="false">IF(OR(F263="",I263=""),"",IF(F263&gt;=I263,"Yes","No"))</f>
        <v/>
      </c>
      <c r="M263" s="24" t="str">
        <f aca="false">IF(OR(F263="",I263="",I263=0),"",F263/I263-1)</f>
        <v/>
      </c>
      <c r="N263" s="24" t="str">
        <f aca="false">IF(OR(G263="",J263="",J263=0),"",G263/J263-1)</f>
        <v/>
      </c>
      <c r="O263" s="24" t="str">
        <f aca="false">IF(N263="","",ABS(N263))</f>
        <v/>
      </c>
    </row>
    <row r="264" customFormat="false" ht="15" hidden="false" customHeight="false" outlineLevel="0" collapsed="false">
      <c r="A264" s="43"/>
      <c r="B264" s="30"/>
      <c r="C264" s="30"/>
      <c r="D264" s="27"/>
      <c r="E264" s="41"/>
      <c r="F264" s="41"/>
      <c r="G264" s="41"/>
      <c r="H264" s="41"/>
      <c r="I264" s="41"/>
      <c r="J264" s="41"/>
      <c r="K264" s="30"/>
      <c r="L264" s="48" t="str">
        <f aca="false">IF(OR(F264="",I264=""),"",IF(F264&gt;=I264,"Yes","No"))</f>
        <v/>
      </c>
      <c r="M264" s="24" t="str">
        <f aca="false">IF(OR(F264="",I264="",I264=0),"",F264/I264-1)</f>
        <v/>
      </c>
      <c r="N264" s="24" t="str">
        <f aca="false">IF(OR(G264="",J264="",J264=0),"",G264/J264-1)</f>
        <v/>
      </c>
      <c r="O264" s="24" t="str">
        <f aca="false">IF(N264="","",ABS(N264))</f>
        <v/>
      </c>
    </row>
    <row r="265" customFormat="false" ht="15" hidden="false" customHeight="false" outlineLevel="0" collapsed="false">
      <c r="A265" s="43"/>
      <c r="B265" s="30"/>
      <c r="C265" s="30"/>
      <c r="D265" s="27"/>
      <c r="E265" s="41"/>
      <c r="F265" s="41"/>
      <c r="G265" s="41"/>
      <c r="H265" s="41"/>
      <c r="I265" s="41"/>
      <c r="J265" s="41"/>
      <c r="K265" s="30"/>
      <c r="L265" s="48" t="str">
        <f aca="false">IF(OR(F265="",I265=""),"",IF(F265&gt;=I265,"Yes","No"))</f>
        <v/>
      </c>
      <c r="M265" s="24" t="str">
        <f aca="false">IF(OR(F265="",I265="",I265=0),"",F265/I265-1)</f>
        <v/>
      </c>
      <c r="N265" s="24" t="str">
        <f aca="false">IF(OR(G265="",J265="",J265=0),"",G265/J265-1)</f>
        <v/>
      </c>
      <c r="O265" s="24" t="str">
        <f aca="false">IF(N265="","",ABS(N265))</f>
        <v/>
      </c>
    </row>
    <row r="266" customFormat="false" ht="15" hidden="false" customHeight="false" outlineLevel="0" collapsed="false">
      <c r="A266" s="43"/>
      <c r="B266" s="30"/>
      <c r="C266" s="30"/>
      <c r="D266" s="27"/>
      <c r="E266" s="41"/>
      <c r="F266" s="41"/>
      <c r="G266" s="41"/>
      <c r="H266" s="41"/>
      <c r="I266" s="41"/>
      <c r="J266" s="41"/>
      <c r="K266" s="30"/>
      <c r="L266" s="48" t="str">
        <f aca="false">IF(OR(F266="",I266=""),"",IF(F266&gt;=I266,"Yes","No"))</f>
        <v/>
      </c>
      <c r="M266" s="24" t="str">
        <f aca="false">IF(OR(F266="",I266="",I266=0),"",F266/I266-1)</f>
        <v/>
      </c>
      <c r="N266" s="24" t="str">
        <f aca="false">IF(OR(G266="",J266="",J266=0),"",G266/J266-1)</f>
        <v/>
      </c>
      <c r="O266" s="24" t="str">
        <f aca="false">IF(N266="","",ABS(N266))</f>
        <v/>
      </c>
    </row>
    <row r="267" customFormat="false" ht="15" hidden="false" customHeight="false" outlineLevel="0" collapsed="false">
      <c r="A267" s="43"/>
      <c r="B267" s="30"/>
      <c r="C267" s="30"/>
      <c r="D267" s="27"/>
      <c r="E267" s="41"/>
      <c r="F267" s="41"/>
      <c r="G267" s="41"/>
      <c r="H267" s="41"/>
      <c r="I267" s="41"/>
      <c r="J267" s="41"/>
      <c r="K267" s="30"/>
      <c r="L267" s="48" t="str">
        <f aca="false">IF(OR(F267="",I267=""),"",IF(F267&gt;=I267,"Yes","No"))</f>
        <v/>
      </c>
      <c r="M267" s="24" t="str">
        <f aca="false">IF(OR(F267="",I267="",I267=0),"",F267/I267-1)</f>
        <v/>
      </c>
      <c r="N267" s="24" t="str">
        <f aca="false">IF(OR(G267="",J267="",J267=0),"",G267/J267-1)</f>
        <v/>
      </c>
      <c r="O267" s="24" t="str">
        <f aca="false">IF(N267="","",ABS(N267))</f>
        <v/>
      </c>
    </row>
    <row r="268" customFormat="false" ht="15" hidden="false" customHeight="false" outlineLevel="0" collapsed="false">
      <c r="A268" s="43"/>
      <c r="B268" s="30"/>
      <c r="C268" s="30"/>
      <c r="D268" s="27"/>
      <c r="E268" s="41"/>
      <c r="F268" s="41"/>
      <c r="G268" s="41"/>
      <c r="H268" s="41"/>
      <c r="I268" s="41"/>
      <c r="J268" s="41"/>
      <c r="K268" s="30"/>
      <c r="L268" s="48" t="str">
        <f aca="false">IF(OR(F268="",I268=""),"",IF(F268&gt;=I268,"Yes","No"))</f>
        <v/>
      </c>
      <c r="M268" s="24" t="str">
        <f aca="false">IF(OR(F268="",I268="",I268=0),"",F268/I268-1)</f>
        <v/>
      </c>
      <c r="N268" s="24" t="str">
        <f aca="false">IF(OR(G268="",J268="",J268=0),"",G268/J268-1)</f>
        <v/>
      </c>
      <c r="O268" s="24" t="str">
        <f aca="false">IF(N268="","",ABS(N268))</f>
        <v/>
      </c>
    </row>
    <row r="269" customFormat="false" ht="15" hidden="false" customHeight="false" outlineLevel="0" collapsed="false">
      <c r="A269" s="43"/>
      <c r="B269" s="30"/>
      <c r="C269" s="30"/>
      <c r="D269" s="27"/>
      <c r="E269" s="41"/>
      <c r="F269" s="41"/>
      <c r="G269" s="41"/>
      <c r="H269" s="41"/>
      <c r="I269" s="41"/>
      <c r="J269" s="41"/>
      <c r="K269" s="30"/>
      <c r="L269" s="48" t="str">
        <f aca="false">IF(OR(F269="",I269=""),"",IF(F269&gt;=I269,"Yes","No"))</f>
        <v/>
      </c>
      <c r="M269" s="24" t="str">
        <f aca="false">IF(OR(F269="",I269="",I269=0),"",F269/I269-1)</f>
        <v/>
      </c>
      <c r="N269" s="24" t="str">
        <f aca="false">IF(OR(G269="",J269="",J269=0),"",G269/J269-1)</f>
        <v/>
      </c>
      <c r="O269" s="24" t="str">
        <f aca="false">IF(N269="","",ABS(N269))</f>
        <v/>
      </c>
    </row>
    <row r="270" customFormat="false" ht="15" hidden="false" customHeight="false" outlineLevel="0" collapsed="false">
      <c r="A270" s="43"/>
      <c r="B270" s="30"/>
      <c r="C270" s="30"/>
      <c r="D270" s="27"/>
      <c r="E270" s="41"/>
      <c r="F270" s="41"/>
      <c r="G270" s="41"/>
      <c r="H270" s="41"/>
      <c r="I270" s="41"/>
      <c r="J270" s="41"/>
      <c r="K270" s="30"/>
      <c r="L270" s="48" t="str">
        <f aca="false">IF(OR(F270="",I270=""),"",IF(F270&gt;=I270,"Yes","No"))</f>
        <v/>
      </c>
      <c r="M270" s="24" t="str">
        <f aca="false">IF(OR(F270="",I270="",I270=0),"",F270/I270-1)</f>
        <v/>
      </c>
      <c r="N270" s="24" t="str">
        <f aca="false">IF(OR(G270="",J270="",J270=0),"",G270/J270-1)</f>
        <v/>
      </c>
      <c r="O270" s="24" t="str">
        <f aca="false">IF(N270="","",ABS(N270))</f>
        <v/>
      </c>
    </row>
    <row r="271" customFormat="false" ht="15" hidden="false" customHeight="false" outlineLevel="0" collapsed="false">
      <c r="A271" s="43"/>
      <c r="B271" s="30"/>
      <c r="C271" s="30"/>
      <c r="D271" s="27"/>
      <c r="E271" s="41"/>
      <c r="F271" s="41"/>
      <c r="G271" s="41"/>
      <c r="H271" s="41"/>
      <c r="I271" s="41"/>
      <c r="J271" s="41"/>
      <c r="K271" s="30"/>
      <c r="L271" s="48" t="str">
        <f aca="false">IF(OR(F271="",I271=""),"",IF(F271&gt;=I271,"Yes","No"))</f>
        <v/>
      </c>
      <c r="M271" s="24" t="str">
        <f aca="false">IF(OR(F271="",I271="",I271=0),"",F271/I271-1)</f>
        <v/>
      </c>
      <c r="N271" s="24" t="str">
        <f aca="false">IF(OR(G271="",J271="",J271=0),"",G271/J271-1)</f>
        <v/>
      </c>
      <c r="O271" s="24" t="str">
        <f aca="false">IF(N271="","",ABS(N271))</f>
        <v/>
      </c>
    </row>
    <row r="272" customFormat="false" ht="15" hidden="false" customHeight="false" outlineLevel="0" collapsed="false">
      <c r="A272" s="43"/>
      <c r="B272" s="30"/>
      <c r="C272" s="30"/>
      <c r="D272" s="27"/>
      <c r="E272" s="41"/>
      <c r="F272" s="41"/>
      <c r="G272" s="41"/>
      <c r="H272" s="41"/>
      <c r="I272" s="41"/>
      <c r="J272" s="41"/>
      <c r="K272" s="30"/>
      <c r="L272" s="48" t="str">
        <f aca="false">IF(OR(F272="",I272=""),"",IF(F272&gt;=I272,"Yes","No"))</f>
        <v/>
      </c>
      <c r="M272" s="24" t="str">
        <f aca="false">IF(OR(F272="",I272="",I272=0),"",F272/I272-1)</f>
        <v/>
      </c>
      <c r="N272" s="24" t="str">
        <f aca="false">IF(OR(G272="",J272="",J272=0),"",G272/J272-1)</f>
        <v/>
      </c>
      <c r="O272" s="24" t="str">
        <f aca="false">IF(N272="","",ABS(N272))</f>
        <v/>
      </c>
    </row>
    <row r="273" customFormat="false" ht="15" hidden="false" customHeight="false" outlineLevel="0" collapsed="false">
      <c r="A273" s="43"/>
      <c r="B273" s="30"/>
      <c r="C273" s="30"/>
      <c r="D273" s="27"/>
      <c r="E273" s="41"/>
      <c r="F273" s="41"/>
      <c r="G273" s="41"/>
      <c r="H273" s="41"/>
      <c r="I273" s="41"/>
      <c r="J273" s="41"/>
      <c r="K273" s="30"/>
      <c r="L273" s="48" t="str">
        <f aca="false">IF(OR(F273="",I273=""),"",IF(F273&gt;=I273,"Yes","No"))</f>
        <v/>
      </c>
      <c r="M273" s="24" t="str">
        <f aca="false">IF(OR(F273="",I273="",I273=0),"",F273/I273-1)</f>
        <v/>
      </c>
      <c r="N273" s="24" t="str">
        <f aca="false">IF(OR(G273="",J273="",J273=0),"",G273/J273-1)</f>
        <v/>
      </c>
      <c r="O273" s="24" t="str">
        <f aca="false">IF(N273="","",ABS(N273))</f>
        <v/>
      </c>
    </row>
    <row r="274" customFormat="false" ht="15" hidden="false" customHeight="false" outlineLevel="0" collapsed="false">
      <c r="A274" s="43"/>
      <c r="B274" s="30"/>
      <c r="C274" s="30"/>
      <c r="D274" s="27"/>
      <c r="E274" s="41"/>
      <c r="F274" s="41"/>
      <c r="G274" s="41"/>
      <c r="H274" s="41"/>
      <c r="I274" s="41"/>
      <c r="J274" s="41"/>
      <c r="K274" s="30"/>
      <c r="L274" s="48" t="str">
        <f aca="false">IF(OR(F274="",I274=""),"",IF(F274&gt;=I274,"Yes","No"))</f>
        <v/>
      </c>
      <c r="M274" s="24" t="str">
        <f aca="false">IF(OR(F274="",I274="",I274=0),"",F274/I274-1)</f>
        <v/>
      </c>
      <c r="N274" s="24" t="str">
        <f aca="false">IF(OR(G274="",J274="",J274=0),"",G274/J274-1)</f>
        <v/>
      </c>
      <c r="O274" s="24" t="str">
        <f aca="false">IF(N274="","",ABS(N274))</f>
        <v/>
      </c>
    </row>
    <row r="275" customFormat="false" ht="15" hidden="false" customHeight="false" outlineLevel="0" collapsed="false">
      <c r="A275" s="43"/>
      <c r="B275" s="30"/>
      <c r="C275" s="30"/>
      <c r="D275" s="27"/>
      <c r="E275" s="41"/>
      <c r="F275" s="41"/>
      <c r="G275" s="41"/>
      <c r="H275" s="41"/>
      <c r="I275" s="41"/>
      <c r="J275" s="41"/>
      <c r="K275" s="30"/>
      <c r="L275" s="48" t="str">
        <f aca="false">IF(OR(F275="",I275=""),"",IF(F275&gt;=I275,"Yes","No"))</f>
        <v/>
      </c>
      <c r="M275" s="24" t="str">
        <f aca="false">IF(OR(F275="",I275="",I275=0),"",F275/I275-1)</f>
        <v/>
      </c>
      <c r="N275" s="24" t="str">
        <f aca="false">IF(OR(G275="",J275="",J275=0),"",G275/J275-1)</f>
        <v/>
      </c>
      <c r="O275" s="24" t="str">
        <f aca="false">IF(N275="","",ABS(N275))</f>
        <v/>
      </c>
    </row>
    <row r="276" customFormat="false" ht="15" hidden="false" customHeight="false" outlineLevel="0" collapsed="false">
      <c r="A276" s="43"/>
      <c r="B276" s="30"/>
      <c r="C276" s="30"/>
      <c r="D276" s="27"/>
      <c r="E276" s="41"/>
      <c r="F276" s="41"/>
      <c r="G276" s="41"/>
      <c r="H276" s="41"/>
      <c r="I276" s="41"/>
      <c r="J276" s="41"/>
      <c r="K276" s="30"/>
      <c r="L276" s="48" t="str">
        <f aca="false">IF(OR(F276="",I276=""),"",IF(F276&gt;=I276,"Yes","No"))</f>
        <v/>
      </c>
      <c r="M276" s="24" t="str">
        <f aca="false">IF(OR(F276="",I276="",I276=0),"",F276/I276-1)</f>
        <v/>
      </c>
      <c r="N276" s="24" t="str">
        <f aca="false">IF(OR(G276="",J276="",J276=0),"",G276/J276-1)</f>
        <v/>
      </c>
      <c r="O276" s="24" t="str">
        <f aca="false">IF(N276="","",ABS(N276))</f>
        <v/>
      </c>
    </row>
    <row r="277" customFormat="false" ht="15" hidden="false" customHeight="false" outlineLevel="0" collapsed="false">
      <c r="A277" s="43"/>
      <c r="B277" s="30"/>
      <c r="C277" s="30"/>
      <c r="D277" s="27"/>
      <c r="E277" s="41"/>
      <c r="F277" s="41"/>
      <c r="G277" s="41"/>
      <c r="H277" s="41"/>
      <c r="I277" s="41"/>
      <c r="J277" s="41"/>
      <c r="K277" s="30"/>
      <c r="L277" s="48" t="str">
        <f aca="false">IF(OR(F277="",I277=""),"",IF(F277&gt;=I277,"Yes","No"))</f>
        <v/>
      </c>
      <c r="M277" s="24" t="str">
        <f aca="false">IF(OR(F277="",I277="",I277=0),"",F277/I277-1)</f>
        <v/>
      </c>
      <c r="N277" s="24" t="str">
        <f aca="false">IF(OR(G277="",J277="",J277=0),"",G277/J277-1)</f>
        <v/>
      </c>
      <c r="O277" s="24" t="str">
        <f aca="false">IF(N277="","",ABS(N277))</f>
        <v/>
      </c>
    </row>
    <row r="278" customFormat="false" ht="15" hidden="false" customHeight="false" outlineLevel="0" collapsed="false">
      <c r="A278" s="43"/>
      <c r="B278" s="30"/>
      <c r="C278" s="30"/>
      <c r="D278" s="27"/>
      <c r="E278" s="41"/>
      <c r="F278" s="41"/>
      <c r="G278" s="41"/>
      <c r="H278" s="41"/>
      <c r="I278" s="41"/>
      <c r="J278" s="41"/>
      <c r="K278" s="30"/>
      <c r="L278" s="48" t="str">
        <f aca="false">IF(OR(F278="",I278=""),"",IF(F278&gt;=I278,"Yes","No"))</f>
        <v/>
      </c>
      <c r="M278" s="24" t="str">
        <f aca="false">IF(OR(F278="",I278="",I278=0),"",F278/I278-1)</f>
        <v/>
      </c>
      <c r="N278" s="24" t="str">
        <f aca="false">IF(OR(G278="",J278="",J278=0),"",G278/J278-1)</f>
        <v/>
      </c>
      <c r="O278" s="24" t="str">
        <f aca="false">IF(N278="","",ABS(N278))</f>
        <v/>
      </c>
    </row>
    <row r="279" customFormat="false" ht="15" hidden="false" customHeight="false" outlineLevel="0" collapsed="false">
      <c r="A279" s="43"/>
      <c r="B279" s="30"/>
      <c r="C279" s="30"/>
      <c r="D279" s="27"/>
      <c r="E279" s="41"/>
      <c r="F279" s="41"/>
      <c r="G279" s="41"/>
      <c r="H279" s="41"/>
      <c r="I279" s="41"/>
      <c r="J279" s="41"/>
      <c r="K279" s="30"/>
      <c r="L279" s="48" t="str">
        <f aca="false">IF(OR(F279="",I279=""),"",IF(F279&gt;=I279,"Yes","No"))</f>
        <v/>
      </c>
      <c r="M279" s="24" t="str">
        <f aca="false">IF(OR(F279="",I279="",I279=0),"",F279/I279-1)</f>
        <v/>
      </c>
      <c r="N279" s="24" t="str">
        <f aca="false">IF(OR(G279="",J279="",J279=0),"",G279/J279-1)</f>
        <v/>
      </c>
      <c r="O279" s="24" t="str">
        <f aca="false">IF(N279="","",ABS(N279))</f>
        <v/>
      </c>
    </row>
    <row r="280" customFormat="false" ht="15" hidden="false" customHeight="false" outlineLevel="0" collapsed="false">
      <c r="A280" s="43"/>
      <c r="B280" s="30"/>
      <c r="C280" s="30"/>
      <c r="D280" s="27"/>
      <c r="E280" s="41"/>
      <c r="F280" s="41"/>
      <c r="G280" s="41"/>
      <c r="H280" s="41"/>
      <c r="I280" s="41"/>
      <c r="J280" s="41"/>
      <c r="K280" s="30"/>
      <c r="L280" s="48" t="str">
        <f aca="false">IF(OR(F280="",I280=""),"",IF(F280&gt;=I280,"Yes","No"))</f>
        <v/>
      </c>
      <c r="M280" s="24" t="str">
        <f aca="false">IF(OR(F280="",I280="",I280=0),"",F280/I280-1)</f>
        <v/>
      </c>
      <c r="N280" s="24" t="str">
        <f aca="false">IF(OR(G280="",J280="",J280=0),"",G280/J280-1)</f>
        <v/>
      </c>
      <c r="O280" s="24" t="str">
        <f aca="false">IF(N280="","",ABS(N280))</f>
        <v/>
      </c>
    </row>
    <row r="281" customFormat="false" ht="15" hidden="false" customHeight="false" outlineLevel="0" collapsed="false">
      <c r="A281" s="43"/>
      <c r="B281" s="30"/>
      <c r="C281" s="30"/>
      <c r="D281" s="27"/>
      <c r="E281" s="41"/>
      <c r="F281" s="41"/>
      <c r="G281" s="41"/>
      <c r="H281" s="41"/>
      <c r="I281" s="41"/>
      <c r="J281" s="41"/>
      <c r="K281" s="30"/>
      <c r="L281" s="48" t="str">
        <f aca="false">IF(OR(F281="",I281=""),"",IF(F281&gt;=I281,"Yes","No"))</f>
        <v/>
      </c>
      <c r="M281" s="24" t="str">
        <f aca="false">IF(OR(F281="",I281="",I281=0),"",F281/I281-1)</f>
        <v/>
      </c>
      <c r="N281" s="24" t="str">
        <f aca="false">IF(OR(G281="",J281="",J281=0),"",G281/J281-1)</f>
        <v/>
      </c>
      <c r="O281" s="24" t="str">
        <f aca="false">IF(N281="","",ABS(N281))</f>
        <v/>
      </c>
    </row>
    <row r="282" customFormat="false" ht="15" hidden="false" customHeight="false" outlineLevel="0" collapsed="false">
      <c r="A282" s="43"/>
      <c r="B282" s="30"/>
      <c r="C282" s="30"/>
      <c r="D282" s="27"/>
      <c r="E282" s="41"/>
      <c r="F282" s="41"/>
      <c r="G282" s="41"/>
      <c r="H282" s="41"/>
      <c r="I282" s="41"/>
      <c r="J282" s="41"/>
      <c r="K282" s="30"/>
      <c r="L282" s="48" t="str">
        <f aca="false">IF(OR(F282="",I282=""),"",IF(F282&gt;=I282,"Yes","No"))</f>
        <v/>
      </c>
      <c r="M282" s="24" t="str">
        <f aca="false">IF(OR(F282="",I282="",I282=0),"",F282/I282-1)</f>
        <v/>
      </c>
      <c r="N282" s="24" t="str">
        <f aca="false">IF(OR(G282="",J282="",J282=0),"",G282/J282-1)</f>
        <v/>
      </c>
      <c r="O282" s="24" t="str">
        <f aca="false">IF(N282="","",ABS(N282))</f>
        <v/>
      </c>
    </row>
    <row r="283" customFormat="false" ht="15" hidden="false" customHeight="false" outlineLevel="0" collapsed="false">
      <c r="A283" s="43"/>
      <c r="B283" s="30"/>
      <c r="C283" s="30"/>
      <c r="D283" s="27"/>
      <c r="E283" s="41"/>
      <c r="F283" s="41"/>
      <c r="G283" s="41"/>
      <c r="H283" s="41"/>
      <c r="I283" s="41"/>
      <c r="J283" s="41"/>
      <c r="K283" s="30"/>
      <c r="L283" s="48" t="str">
        <f aca="false">IF(OR(F283="",I283=""),"",IF(F283&gt;=I283,"Yes","No"))</f>
        <v/>
      </c>
      <c r="M283" s="24" t="str">
        <f aca="false">IF(OR(F283="",I283="",I283=0),"",F283/I283-1)</f>
        <v/>
      </c>
      <c r="N283" s="24" t="str">
        <f aca="false">IF(OR(G283="",J283="",J283=0),"",G283/J283-1)</f>
        <v/>
      </c>
      <c r="O283" s="24" t="str">
        <f aca="false">IF(N283="","",ABS(N283))</f>
        <v/>
      </c>
    </row>
    <row r="284" customFormat="false" ht="15" hidden="false" customHeight="false" outlineLevel="0" collapsed="false">
      <c r="A284" s="43"/>
      <c r="B284" s="30"/>
      <c r="C284" s="30"/>
      <c r="D284" s="27"/>
      <c r="E284" s="41"/>
      <c r="F284" s="41"/>
      <c r="G284" s="41"/>
      <c r="H284" s="41"/>
      <c r="I284" s="41"/>
      <c r="J284" s="41"/>
      <c r="K284" s="30"/>
      <c r="L284" s="48" t="str">
        <f aca="false">IF(OR(F284="",I284=""),"",IF(F284&gt;=I284,"Yes","No"))</f>
        <v/>
      </c>
      <c r="M284" s="24" t="str">
        <f aca="false">IF(OR(F284="",I284="",I284=0),"",F284/I284-1)</f>
        <v/>
      </c>
      <c r="N284" s="24" t="str">
        <f aca="false">IF(OR(G284="",J284="",J284=0),"",G284/J284-1)</f>
        <v/>
      </c>
      <c r="O284" s="24" t="str">
        <f aca="false">IF(N284="","",ABS(N284))</f>
        <v/>
      </c>
    </row>
    <row r="285" customFormat="false" ht="15" hidden="false" customHeight="false" outlineLevel="0" collapsed="false">
      <c r="A285" s="43"/>
      <c r="B285" s="30"/>
      <c r="C285" s="30"/>
      <c r="D285" s="27"/>
      <c r="E285" s="41"/>
      <c r="F285" s="41"/>
      <c r="G285" s="41"/>
      <c r="H285" s="41"/>
      <c r="I285" s="41"/>
      <c r="J285" s="41"/>
      <c r="K285" s="30"/>
      <c r="L285" s="48" t="str">
        <f aca="false">IF(OR(F285="",I285=""),"",IF(F285&gt;=I285,"Yes","No"))</f>
        <v/>
      </c>
      <c r="M285" s="24" t="str">
        <f aca="false">IF(OR(F285="",I285="",I285=0),"",F285/I285-1)</f>
        <v/>
      </c>
      <c r="N285" s="24" t="str">
        <f aca="false">IF(OR(G285="",J285="",J285=0),"",G285/J285-1)</f>
        <v/>
      </c>
      <c r="O285" s="24" t="str">
        <f aca="false">IF(N285="","",ABS(N285))</f>
        <v/>
      </c>
    </row>
    <row r="286" customFormat="false" ht="15" hidden="false" customHeight="false" outlineLevel="0" collapsed="false">
      <c r="A286" s="43"/>
      <c r="B286" s="30"/>
      <c r="C286" s="30"/>
      <c r="D286" s="27"/>
      <c r="E286" s="41"/>
      <c r="F286" s="41"/>
      <c r="G286" s="41"/>
      <c r="H286" s="41"/>
      <c r="I286" s="41"/>
      <c r="J286" s="41"/>
      <c r="K286" s="30"/>
      <c r="L286" s="48" t="str">
        <f aca="false">IF(OR(F286="",I286=""),"",IF(F286&gt;=I286,"Yes","No"))</f>
        <v/>
      </c>
      <c r="M286" s="24" t="str">
        <f aca="false">IF(OR(F286="",I286="",I286=0),"",F286/I286-1)</f>
        <v/>
      </c>
      <c r="N286" s="24" t="str">
        <f aca="false">IF(OR(G286="",J286="",J286=0),"",G286/J286-1)</f>
        <v/>
      </c>
      <c r="O286" s="24" t="str">
        <f aca="false">IF(N286="","",ABS(N286))</f>
        <v/>
      </c>
    </row>
    <row r="287" customFormat="false" ht="15" hidden="false" customHeight="false" outlineLevel="0" collapsed="false">
      <c r="A287" s="43"/>
      <c r="B287" s="30"/>
      <c r="C287" s="30"/>
      <c r="D287" s="27"/>
      <c r="E287" s="41"/>
      <c r="F287" s="41"/>
      <c r="G287" s="41"/>
      <c r="H287" s="41"/>
      <c r="I287" s="41"/>
      <c r="J287" s="41"/>
      <c r="K287" s="30"/>
      <c r="L287" s="48" t="str">
        <f aca="false">IF(OR(F287="",I287=""),"",IF(F287&gt;=I287,"Yes","No"))</f>
        <v/>
      </c>
      <c r="M287" s="24" t="str">
        <f aca="false">IF(OR(F287="",I287="",I287=0),"",F287/I287-1)</f>
        <v/>
      </c>
      <c r="N287" s="24" t="str">
        <f aca="false">IF(OR(G287="",J287="",J287=0),"",G287/J287-1)</f>
        <v/>
      </c>
      <c r="O287" s="24" t="str">
        <f aca="false">IF(N287="","",ABS(N287))</f>
        <v/>
      </c>
    </row>
    <row r="288" customFormat="false" ht="15" hidden="false" customHeight="false" outlineLevel="0" collapsed="false">
      <c r="A288" s="43"/>
      <c r="B288" s="30"/>
      <c r="C288" s="30"/>
      <c r="D288" s="27"/>
      <c r="E288" s="41"/>
      <c r="F288" s="41"/>
      <c r="G288" s="41"/>
      <c r="H288" s="41"/>
      <c r="I288" s="41"/>
      <c r="J288" s="41"/>
      <c r="K288" s="30"/>
      <c r="L288" s="48" t="str">
        <f aca="false">IF(OR(F288="",I288=""),"",IF(F288&gt;=I288,"Yes","No"))</f>
        <v/>
      </c>
      <c r="M288" s="24" t="str">
        <f aca="false">IF(OR(F288="",I288="",I288=0),"",F288/I288-1)</f>
        <v/>
      </c>
      <c r="N288" s="24" t="str">
        <f aca="false">IF(OR(G288="",J288="",J288=0),"",G288/J288-1)</f>
        <v/>
      </c>
      <c r="O288" s="24" t="str">
        <f aca="false">IF(N288="","",ABS(N288))</f>
        <v/>
      </c>
    </row>
    <row r="289" customFormat="false" ht="15" hidden="false" customHeight="false" outlineLevel="0" collapsed="false">
      <c r="A289" s="43"/>
      <c r="B289" s="30"/>
      <c r="C289" s="30"/>
      <c r="D289" s="27"/>
      <c r="E289" s="41"/>
      <c r="F289" s="41"/>
      <c r="G289" s="41"/>
      <c r="H289" s="41"/>
      <c r="I289" s="41"/>
      <c r="J289" s="41"/>
      <c r="K289" s="30"/>
      <c r="L289" s="48" t="str">
        <f aca="false">IF(OR(F289="",I289=""),"",IF(F289&gt;=I289,"Yes","No"))</f>
        <v/>
      </c>
      <c r="M289" s="24" t="str">
        <f aca="false">IF(OR(F289="",I289="",I289=0),"",F289/I289-1)</f>
        <v/>
      </c>
      <c r="N289" s="24" t="str">
        <f aca="false">IF(OR(G289="",J289="",J289=0),"",G289/J289-1)</f>
        <v/>
      </c>
      <c r="O289" s="24" t="str">
        <f aca="false">IF(N289="","",ABS(N289))</f>
        <v/>
      </c>
    </row>
    <row r="290" customFormat="false" ht="15" hidden="false" customHeight="false" outlineLevel="0" collapsed="false">
      <c r="A290" s="43"/>
      <c r="B290" s="30"/>
      <c r="C290" s="30"/>
      <c r="D290" s="27"/>
      <c r="E290" s="41"/>
      <c r="F290" s="41"/>
      <c r="G290" s="41"/>
      <c r="H290" s="41"/>
      <c r="I290" s="41"/>
      <c r="J290" s="41"/>
      <c r="K290" s="30"/>
      <c r="L290" s="48" t="str">
        <f aca="false">IF(OR(F290="",I290=""),"",IF(F290&gt;=I290,"Yes","No"))</f>
        <v/>
      </c>
      <c r="M290" s="24" t="str">
        <f aca="false">IF(OR(F290="",I290="",I290=0),"",F290/I290-1)</f>
        <v/>
      </c>
      <c r="N290" s="24" t="str">
        <f aca="false">IF(OR(G290="",J290="",J290=0),"",G290/J290-1)</f>
        <v/>
      </c>
      <c r="O290" s="24" t="str">
        <f aca="false">IF(N290="","",ABS(N290))</f>
        <v/>
      </c>
    </row>
    <row r="291" customFormat="false" ht="15" hidden="false" customHeight="false" outlineLevel="0" collapsed="false">
      <c r="A291" s="43"/>
      <c r="B291" s="30"/>
      <c r="C291" s="30"/>
      <c r="D291" s="27"/>
      <c r="E291" s="41"/>
      <c r="F291" s="41"/>
      <c r="G291" s="41"/>
      <c r="H291" s="41"/>
      <c r="I291" s="41"/>
      <c r="J291" s="41"/>
      <c r="K291" s="30"/>
      <c r="L291" s="48" t="str">
        <f aca="false">IF(OR(F291="",I291=""),"",IF(F291&gt;=I291,"Yes","No"))</f>
        <v/>
      </c>
      <c r="M291" s="24" t="str">
        <f aca="false">IF(OR(F291="",I291="",I291=0),"",F291/I291-1)</f>
        <v/>
      </c>
      <c r="N291" s="24" t="str">
        <f aca="false">IF(OR(G291="",J291="",J291=0),"",G291/J291-1)</f>
        <v/>
      </c>
      <c r="O291" s="24" t="str">
        <f aca="false">IF(N291="","",ABS(N291))</f>
        <v/>
      </c>
    </row>
    <row r="292" customFormat="false" ht="15" hidden="false" customHeight="false" outlineLevel="0" collapsed="false">
      <c r="A292" s="43"/>
      <c r="B292" s="30"/>
      <c r="C292" s="30"/>
      <c r="D292" s="27"/>
      <c r="E292" s="41"/>
      <c r="F292" s="41"/>
      <c r="G292" s="41"/>
      <c r="H292" s="41"/>
      <c r="I292" s="41"/>
      <c r="J292" s="41"/>
      <c r="K292" s="30"/>
      <c r="L292" s="48" t="str">
        <f aca="false">IF(OR(F292="",I292=""),"",IF(F292&gt;=I292,"Yes","No"))</f>
        <v/>
      </c>
      <c r="M292" s="24" t="str">
        <f aca="false">IF(OR(F292="",I292="",I292=0),"",F292/I292-1)</f>
        <v/>
      </c>
      <c r="N292" s="24" t="str">
        <f aca="false">IF(OR(G292="",J292="",J292=0),"",G292/J292-1)</f>
        <v/>
      </c>
      <c r="O292" s="24" t="str">
        <f aca="false">IF(N292="","",ABS(N292))</f>
        <v/>
      </c>
    </row>
    <row r="293" customFormat="false" ht="15" hidden="false" customHeight="false" outlineLevel="0" collapsed="false">
      <c r="A293" s="43"/>
      <c r="B293" s="30"/>
      <c r="C293" s="30"/>
      <c r="D293" s="27"/>
      <c r="E293" s="41"/>
      <c r="F293" s="41"/>
      <c r="G293" s="41"/>
      <c r="H293" s="41"/>
      <c r="I293" s="41"/>
      <c r="J293" s="41"/>
      <c r="K293" s="30"/>
      <c r="L293" s="48" t="str">
        <f aca="false">IF(OR(F293="",I293=""),"",IF(F293&gt;=I293,"Yes","No"))</f>
        <v/>
      </c>
      <c r="M293" s="24" t="str">
        <f aca="false">IF(OR(F293="",I293="",I293=0),"",F293/I293-1)</f>
        <v/>
      </c>
      <c r="N293" s="24" t="str">
        <f aca="false">IF(OR(G293="",J293="",J293=0),"",G293/J293-1)</f>
        <v/>
      </c>
      <c r="O293" s="24" t="str">
        <f aca="false">IF(N293="","",ABS(N293))</f>
        <v/>
      </c>
    </row>
    <row r="294" customFormat="false" ht="15" hidden="false" customHeight="false" outlineLevel="0" collapsed="false">
      <c r="A294" s="43"/>
      <c r="B294" s="30"/>
      <c r="C294" s="30"/>
      <c r="D294" s="27"/>
      <c r="E294" s="41"/>
      <c r="F294" s="41"/>
      <c r="G294" s="41"/>
      <c r="H294" s="41"/>
      <c r="I294" s="41"/>
      <c r="J294" s="41"/>
      <c r="K294" s="30"/>
      <c r="L294" s="48" t="str">
        <f aca="false">IF(OR(F294="",I294=""),"",IF(F294&gt;=I294,"Yes","No"))</f>
        <v/>
      </c>
      <c r="M294" s="24" t="str">
        <f aca="false">IF(OR(F294="",I294="",I294=0),"",F294/I294-1)</f>
        <v/>
      </c>
      <c r="N294" s="24" t="str">
        <f aca="false">IF(OR(G294="",J294="",J294=0),"",G294/J294-1)</f>
        <v/>
      </c>
      <c r="O294" s="24" t="str">
        <f aca="false">IF(N294="","",ABS(N294))</f>
        <v/>
      </c>
    </row>
    <row r="295" customFormat="false" ht="15" hidden="false" customHeight="false" outlineLevel="0" collapsed="false">
      <c r="A295" s="43"/>
      <c r="B295" s="30"/>
      <c r="C295" s="30"/>
      <c r="D295" s="27"/>
      <c r="E295" s="41"/>
      <c r="F295" s="41"/>
      <c r="G295" s="41"/>
      <c r="H295" s="41"/>
      <c r="I295" s="41"/>
      <c r="J295" s="41"/>
      <c r="K295" s="30"/>
      <c r="L295" s="48" t="str">
        <f aca="false">IF(OR(F295="",I295=""),"",IF(F295&gt;=I295,"Yes","No"))</f>
        <v/>
      </c>
      <c r="M295" s="24" t="str">
        <f aca="false">IF(OR(F295="",I295="",I295=0),"",F295/I295-1)</f>
        <v/>
      </c>
      <c r="N295" s="24" t="str">
        <f aca="false">IF(OR(G295="",J295="",J295=0),"",G295/J295-1)</f>
        <v/>
      </c>
      <c r="O295" s="24" t="str">
        <f aca="false">IF(N295="","",ABS(N295))</f>
        <v/>
      </c>
    </row>
    <row r="296" customFormat="false" ht="15" hidden="false" customHeight="false" outlineLevel="0" collapsed="false">
      <c r="A296" s="43"/>
      <c r="B296" s="30"/>
      <c r="C296" s="30"/>
      <c r="D296" s="27"/>
      <c r="E296" s="41"/>
      <c r="F296" s="41"/>
      <c r="G296" s="41"/>
      <c r="H296" s="41"/>
      <c r="I296" s="41"/>
      <c r="J296" s="41"/>
      <c r="K296" s="30"/>
      <c r="L296" s="48" t="str">
        <f aca="false">IF(OR(F296="",I296=""),"",IF(F296&gt;=I296,"Yes","No"))</f>
        <v/>
      </c>
      <c r="M296" s="24" t="str">
        <f aca="false">IF(OR(F296="",I296="",I296=0),"",F296/I296-1)</f>
        <v/>
      </c>
      <c r="N296" s="24" t="str">
        <f aca="false">IF(OR(G296="",J296="",J296=0),"",G296/J296-1)</f>
        <v/>
      </c>
      <c r="O296" s="24" t="str">
        <f aca="false">IF(N296="","",ABS(N296))</f>
        <v/>
      </c>
    </row>
    <row r="297" customFormat="false" ht="15" hidden="false" customHeight="false" outlineLevel="0" collapsed="false">
      <c r="A297" s="43"/>
      <c r="B297" s="30"/>
      <c r="C297" s="30"/>
      <c r="D297" s="27"/>
      <c r="E297" s="41"/>
      <c r="F297" s="41"/>
      <c r="G297" s="41"/>
      <c r="H297" s="41"/>
      <c r="I297" s="41"/>
      <c r="J297" s="41"/>
      <c r="K297" s="30"/>
      <c r="L297" s="48" t="str">
        <f aca="false">IF(OR(F297="",I297=""),"",IF(F297&gt;=I297,"Yes","No"))</f>
        <v/>
      </c>
      <c r="M297" s="24" t="str">
        <f aca="false">IF(OR(F297="",I297="",I297=0),"",F297/I297-1)</f>
        <v/>
      </c>
      <c r="N297" s="24" t="str">
        <f aca="false">IF(OR(G297="",J297="",J297=0),"",G297/J297-1)</f>
        <v/>
      </c>
      <c r="O297" s="24" t="str">
        <f aca="false">IF(N297="","",ABS(N297))</f>
        <v/>
      </c>
    </row>
    <row r="298" customFormat="false" ht="15" hidden="false" customHeight="false" outlineLevel="0" collapsed="false">
      <c r="A298" s="43"/>
      <c r="B298" s="30"/>
      <c r="C298" s="30"/>
      <c r="D298" s="27"/>
      <c r="E298" s="41"/>
      <c r="F298" s="41"/>
      <c r="G298" s="41"/>
      <c r="H298" s="41"/>
      <c r="I298" s="41"/>
      <c r="J298" s="41"/>
      <c r="K298" s="30"/>
      <c r="L298" s="48" t="str">
        <f aca="false">IF(OR(F298="",I298=""),"",IF(F298&gt;=I298,"Yes","No"))</f>
        <v/>
      </c>
      <c r="M298" s="24" t="str">
        <f aca="false">IF(OR(F298="",I298="",I298=0),"",F298/I298-1)</f>
        <v/>
      </c>
      <c r="N298" s="24" t="str">
        <f aca="false">IF(OR(G298="",J298="",J298=0),"",G298/J298-1)</f>
        <v/>
      </c>
      <c r="O298" s="24" t="str">
        <f aca="false">IF(N298="","",ABS(N298))</f>
        <v/>
      </c>
    </row>
    <row r="299" customFormat="false" ht="15" hidden="false" customHeight="false" outlineLevel="0" collapsed="false">
      <c r="A299" s="43"/>
      <c r="B299" s="30"/>
      <c r="C299" s="30"/>
      <c r="D299" s="27"/>
      <c r="E299" s="41"/>
      <c r="F299" s="41"/>
      <c r="G299" s="41"/>
      <c r="H299" s="41"/>
      <c r="I299" s="41"/>
      <c r="J299" s="41"/>
      <c r="K299" s="30"/>
      <c r="L299" s="48" t="str">
        <f aca="false">IF(OR(F299="",I299=""),"",IF(F299&gt;=I299,"Yes","No"))</f>
        <v/>
      </c>
      <c r="M299" s="24" t="str">
        <f aca="false">IF(OR(F299="",I299="",I299=0),"",F299/I299-1)</f>
        <v/>
      </c>
      <c r="N299" s="24" t="str">
        <f aca="false">IF(OR(G299="",J299="",J299=0),"",G299/J299-1)</f>
        <v/>
      </c>
      <c r="O299" s="24" t="str">
        <f aca="false">IF(N299="","",ABS(N299))</f>
        <v/>
      </c>
    </row>
    <row r="300" customFormat="false" ht="15" hidden="false" customHeight="false" outlineLevel="0" collapsed="false">
      <c r="A300" s="43"/>
      <c r="B300" s="30"/>
      <c r="C300" s="30"/>
      <c r="D300" s="27"/>
      <c r="E300" s="41"/>
      <c r="F300" s="41"/>
      <c r="G300" s="41"/>
      <c r="H300" s="41"/>
      <c r="I300" s="41"/>
      <c r="J300" s="41"/>
      <c r="K300" s="30"/>
      <c r="L300" s="48" t="str">
        <f aca="false">IF(OR(F300="",I300=""),"",IF(F300&gt;=I300,"Yes","No"))</f>
        <v/>
      </c>
      <c r="M300" s="24" t="str">
        <f aca="false">IF(OR(F300="",I300="",I300=0),"",F300/I300-1)</f>
        <v/>
      </c>
      <c r="N300" s="24" t="str">
        <f aca="false">IF(OR(G300="",J300="",J300=0),"",G300/J300-1)</f>
        <v/>
      </c>
      <c r="O300" s="24" t="str">
        <f aca="false">IF(N300="","",ABS(N300))</f>
        <v/>
      </c>
    </row>
    <row r="301" customFormat="false" ht="15" hidden="false" customHeight="false" outlineLevel="0" collapsed="false">
      <c r="A301" s="43"/>
      <c r="B301" s="30"/>
      <c r="C301" s="30"/>
      <c r="D301" s="27"/>
      <c r="E301" s="41"/>
      <c r="F301" s="41"/>
      <c r="G301" s="41"/>
      <c r="H301" s="41"/>
      <c r="I301" s="41"/>
      <c r="J301" s="41"/>
      <c r="K301" s="30"/>
      <c r="L301" s="48" t="str">
        <f aca="false">IF(OR(F301="",I301=""),"",IF(F301&gt;=I301,"Yes","No"))</f>
        <v/>
      </c>
      <c r="M301" s="24" t="str">
        <f aca="false">IF(OR(F301="",I301="",I301=0),"",F301/I301-1)</f>
        <v/>
      </c>
      <c r="N301" s="24" t="str">
        <f aca="false">IF(OR(G301="",J301="",J301=0),"",G301/J301-1)</f>
        <v/>
      </c>
      <c r="O301" s="24" t="str">
        <f aca="false">IF(N301="","",ABS(N301))</f>
        <v/>
      </c>
    </row>
    <row r="302" customFormat="false" ht="15" hidden="false" customHeight="false" outlineLevel="0" collapsed="false">
      <c r="A302" s="43"/>
      <c r="B302" s="30"/>
      <c r="C302" s="30"/>
      <c r="D302" s="27"/>
      <c r="E302" s="41"/>
      <c r="F302" s="41"/>
      <c r="G302" s="41"/>
      <c r="H302" s="41"/>
      <c r="I302" s="41"/>
      <c r="J302" s="41"/>
      <c r="K302" s="30"/>
      <c r="L302" s="48" t="str">
        <f aca="false">IF(OR(F302="",I302=""),"",IF(F302&gt;=I302,"Yes","No"))</f>
        <v/>
      </c>
      <c r="M302" s="24" t="str">
        <f aca="false">IF(OR(F302="",I302="",I302=0),"",F302/I302-1)</f>
        <v/>
      </c>
      <c r="N302" s="24" t="str">
        <f aca="false">IF(OR(G302="",J302="",J302=0),"",G302/J302-1)</f>
        <v/>
      </c>
      <c r="O302" s="24" t="str">
        <f aca="false">IF(N302="","",ABS(N302))</f>
        <v/>
      </c>
    </row>
    <row r="303" customFormat="false" ht="15" hidden="false" customHeight="false" outlineLevel="0" collapsed="false">
      <c r="A303" s="43"/>
      <c r="B303" s="30"/>
      <c r="C303" s="30"/>
      <c r="D303" s="27"/>
      <c r="E303" s="41"/>
      <c r="F303" s="41"/>
      <c r="G303" s="41"/>
      <c r="H303" s="41"/>
      <c r="I303" s="41"/>
      <c r="J303" s="41"/>
      <c r="K303" s="30"/>
      <c r="L303" s="48" t="str">
        <f aca="false">IF(OR(F303="",I303=""),"",IF(F303&gt;=I303,"Yes","No"))</f>
        <v/>
      </c>
      <c r="M303" s="24" t="str">
        <f aca="false">IF(OR(F303="",I303="",I303=0),"",F303/I303-1)</f>
        <v/>
      </c>
      <c r="N303" s="24" t="str">
        <f aca="false">IF(OR(G303="",J303="",J303=0),"",G303/J303-1)</f>
        <v/>
      </c>
      <c r="O303" s="24" t="str">
        <f aca="false">IF(N303="","",ABS(N303))</f>
        <v/>
      </c>
    </row>
    <row r="304" customFormat="false" ht="15" hidden="false" customHeight="false" outlineLevel="0" collapsed="false">
      <c r="A304" s="43"/>
      <c r="B304" s="30"/>
      <c r="C304" s="30"/>
      <c r="D304" s="27"/>
      <c r="E304" s="41"/>
      <c r="F304" s="41"/>
      <c r="G304" s="41"/>
      <c r="H304" s="41"/>
      <c r="I304" s="41"/>
      <c r="J304" s="41"/>
      <c r="K304" s="30"/>
      <c r="L304" s="48" t="str">
        <f aca="false">IF(OR(F304="",I304=""),"",IF(F304&gt;=I304,"Yes","No"))</f>
        <v/>
      </c>
      <c r="M304" s="24" t="str">
        <f aca="false">IF(OR(F304="",I304="",I304=0),"",F304/I304-1)</f>
        <v/>
      </c>
      <c r="N304" s="24" t="str">
        <f aca="false">IF(OR(G304="",J304="",J304=0),"",G304/J304-1)</f>
        <v/>
      </c>
      <c r="O304" s="24" t="str">
        <f aca="false">IF(N304="","",ABS(N304))</f>
        <v/>
      </c>
    </row>
    <row r="305" customFormat="false" ht="15" hidden="false" customHeight="false" outlineLevel="0" collapsed="false">
      <c r="A305" s="43"/>
      <c r="B305" s="30"/>
      <c r="C305" s="30"/>
      <c r="D305" s="27"/>
      <c r="E305" s="41"/>
      <c r="F305" s="41"/>
      <c r="G305" s="41"/>
      <c r="H305" s="41"/>
      <c r="I305" s="41"/>
      <c r="J305" s="41"/>
      <c r="K305" s="30"/>
      <c r="L305" s="48" t="str">
        <f aca="false">IF(OR(F305="",I305=""),"",IF(F305&gt;=I305,"Yes","No"))</f>
        <v/>
      </c>
      <c r="M305" s="24" t="str">
        <f aca="false">IF(OR(F305="",I305="",I305=0),"",F305/I305-1)</f>
        <v/>
      </c>
      <c r="N305" s="24" t="str">
        <f aca="false">IF(OR(G305="",J305="",J305=0),"",G305/J305-1)</f>
        <v/>
      </c>
      <c r="O305" s="24" t="str">
        <f aca="false">IF(N305="","",ABS(N305))</f>
        <v/>
      </c>
    </row>
    <row r="306" customFormat="false" ht="15" hidden="false" customHeight="false" outlineLevel="0" collapsed="false">
      <c r="A306" s="43"/>
      <c r="B306" s="30"/>
      <c r="C306" s="30"/>
      <c r="D306" s="27"/>
      <c r="E306" s="41"/>
      <c r="F306" s="41"/>
      <c r="G306" s="41"/>
      <c r="H306" s="41"/>
      <c r="I306" s="41"/>
      <c r="J306" s="41"/>
      <c r="K306" s="30"/>
      <c r="L306" s="48" t="str">
        <f aca="false">IF(OR(F306="",I306=""),"",IF(F306&gt;=I306,"Yes","No"))</f>
        <v/>
      </c>
      <c r="M306" s="24" t="str">
        <f aca="false">IF(OR(F306="",I306="",I306=0),"",F306/I306-1)</f>
        <v/>
      </c>
      <c r="N306" s="24" t="str">
        <f aca="false">IF(OR(G306="",J306="",J306=0),"",G306/J306-1)</f>
        <v/>
      </c>
      <c r="O306" s="24" t="str">
        <f aca="false">IF(N306="","",ABS(N306))</f>
        <v/>
      </c>
    </row>
    <row r="307" customFormat="false" ht="15" hidden="false" customHeight="false" outlineLevel="0" collapsed="false">
      <c r="A307" s="43"/>
      <c r="B307" s="30"/>
      <c r="C307" s="30"/>
      <c r="D307" s="27"/>
      <c r="E307" s="41"/>
      <c r="F307" s="41"/>
      <c r="G307" s="41"/>
      <c r="H307" s="41"/>
      <c r="I307" s="41"/>
      <c r="J307" s="41"/>
      <c r="K307" s="30"/>
      <c r="L307" s="48" t="str">
        <f aca="false">IF(OR(F307="",I307=""),"",IF(F307&gt;=I307,"Yes","No"))</f>
        <v/>
      </c>
      <c r="M307" s="24" t="str">
        <f aca="false">IF(OR(F307="",I307="",I307=0),"",F307/I307-1)</f>
        <v/>
      </c>
      <c r="N307" s="24" t="str">
        <f aca="false">IF(OR(G307="",J307="",J307=0),"",G307/J307-1)</f>
        <v/>
      </c>
      <c r="O307" s="24" t="str">
        <f aca="false">IF(N307="","",ABS(N307))</f>
        <v/>
      </c>
    </row>
  </sheetData>
  <mergeCells count="4">
    <mergeCell ref="A6:D6"/>
    <mergeCell ref="E6:H6"/>
    <mergeCell ref="I6:K6"/>
    <mergeCell ref="L6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2026-10-20T22:17:55Z</dcterms:created>
  <dc:creator>openpyxl</dc:creator>
  <dc:description/>
  <dc:language>en-US</dc:language>
  <cp:lastModifiedBy/>
  <dcterms:modified xsi:type="dcterms:W3CDTF">2026-10-20T22:17:58Z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